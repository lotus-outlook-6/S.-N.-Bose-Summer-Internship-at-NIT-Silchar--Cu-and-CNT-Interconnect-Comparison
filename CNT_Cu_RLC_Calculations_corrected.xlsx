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u" sheetId="2" state="visible" r:id="rId4"/>
    <sheet name="CN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<sst xmlns="http://schemas.openxmlformats.org/spreadsheetml/2006/main" count="246" uniqueCount="128">
  <si>
    <t xml:space="preserve">RLC Model — Assumptions &amp; Inputs (Cu vs SWCNT Bundle Interconnects)</t>
  </si>
  <si>
    <t xml:space="preserve">All blue cells are hardcoded inputs/assumptions. Black cells elsewhere in this workbook are live formulas built from these inputs.</t>
  </si>
  <si>
    <t xml:space="preserve">Technology nodes: 45nm, 22nm, 14nm, 7nm  |  Interconnect lengths evaluated: 100 um, 500 um, 1000 um</t>
  </si>
  <si>
    <t xml:space="preserve">SECTION A — UNIVERSAL PHYSICAL CONSTANTS</t>
  </si>
  <si>
    <t xml:space="preserve">Vacuum permittivity ε0 (F/m)</t>
  </si>
  <si>
    <t xml:space="preserve">Standard physical constant</t>
  </si>
  <si>
    <t xml:space="preserve">Permeability of free space μ0 (H/m)</t>
  </si>
  <si>
    <t xml:space="preserve">Standard physical constant = 4*PI()*1e-7</t>
  </si>
  <si>
    <t xml:space="preserve">Planck constant h (J·s)</t>
  </si>
  <si>
    <t xml:space="preserve">CODATA 2018</t>
  </si>
  <si>
    <t xml:space="preserve">Electron charge e (C)</t>
  </si>
  <si>
    <t xml:space="preserve">Fermi velocity in metallic SWCNT v_F (m/s)</t>
  </si>
  <si>
    <t xml:space="preserve">[CNT-L] Naeemi &amp; Meindl 2008; standard value used across CNT interconnect literature</t>
  </si>
  <si>
    <t xml:space="preserve">Bulk Cu resistivity rho0 at 21C (Ohm.m)</t>
  </si>
  <si>
    <t xml:space="preserve">Standard bulk copper resistivity, 1.68 uOhm.cm</t>
  </si>
  <si>
    <t xml:space="preserve">Cu electron mean free path lambda (m)</t>
  </si>
  <si>
    <t xml:space="preserve">[Cu-R1] Smith et al., AIP Advances 2019 — lambda = 39 nm at 21C</t>
  </si>
  <si>
    <t xml:space="preserve">Operating temperature T (K)</t>
  </si>
  <si>
    <t xml:space="preserve">Assumption: room temperature simulation</t>
  </si>
  <si>
    <t xml:space="preserve">SECTION B — GEOMETRY PER TECHNOLOGY NODE  (Source: ITRS 2009 / ITRS 2.0 2015 / IRDS 2022 — see original reference doc)</t>
  </si>
  <si>
    <t xml:space="preserve">Parameter</t>
  </si>
  <si>
    <t xml:space="preserve">45nm</t>
  </si>
  <si>
    <t xml:space="preserve">22nm</t>
  </si>
  <si>
    <t xml:space="preserve">14nm</t>
  </si>
  <si>
    <t xml:space="preserve">7nm</t>
  </si>
  <si>
    <t xml:space="preserve">Wire width W (nm)</t>
  </si>
  <si>
    <t xml:space="preserve">Aspect ratio H/W</t>
  </si>
  <si>
    <t xml:space="preserve">Wire spacing S (nm) (S = W assumed)</t>
  </si>
  <si>
    <t xml:space="preserve">Dielectric constant (ILD) epsilon_r</t>
  </si>
  <si>
    <t xml:space="preserve">Barrier (TaN/Ta) thickness (nm)</t>
  </si>
  <si>
    <t xml:space="preserve">CNT diameter d (nm)</t>
  </si>
  <si>
    <t xml:space="preserve">Metallic CNT fraction Fm (unsorted synthesis)</t>
  </si>
  <si>
    <t xml:space="preserve">Wire height H (nm) = W * AR</t>
  </si>
  <si>
    <t xml:space="preserve">Grain size D (nm) = W  (standard assumption D~W)</t>
  </si>
  <si>
    <t xml:space="preserve">SECTION C — COPPER-SPECIFIC ASSUMPTIONS</t>
  </si>
  <si>
    <t xml:space="preserve">Specularity parameter p (0=diffuse,1=specular)</t>
  </si>
  <si>
    <t xml:space="preserve">FS model used</t>
  </si>
  <si>
    <t xml:space="preserve">Simplified (d&gt;&gt;lambda)</t>
  </si>
  <si>
    <t xml:space="preserve">Full FS integral</t>
  </si>
  <si>
    <t xml:space="preserve">GB reflection coefficient R (MS model)</t>
  </si>
  <si>
    <t xml:space="preserve">rho_FS multiplier (rho_FS/rho0) — 45/22nm via closed-form simplified formula 1+(3*lambda/8d)(1-p); 14/7nm via full FS integral, evaluated numerically in Python (Simpson's rule, 20000 pts) since Excel cannot evaluate the improper integral natively. See Notes sheet.</t>
  </si>
  <si>
    <t xml:space="preserve">SECTION D — SWCNT BUNDLE-SPECIFIC ASSUMPTIONS</t>
  </si>
  <si>
    <t xml:space="preserve">Inter-tube van der Waals spacing delta (nm)</t>
  </si>
  <si>
    <t xml:space="preserve">[CNT-R1] MDPI Crystals 2022</t>
  </si>
  <si>
    <t xml:space="preserve">Acoustic phonon MFP lambda_AC at T=300K (nm) = 400/(T/300)</t>
  </si>
  <si>
    <t xml:space="preserve">[CNT-R2] Park et al. 2004; formula uses T from Section A</t>
  </si>
  <si>
    <t xml:space="preserve">Optical phonon MFP lambda_OP (nm), ~T-independent</t>
  </si>
  <si>
    <t xml:space="preserve">[CNT-R2] Park et al. 2004</t>
  </si>
  <si>
    <t xml:space="preserve">Metal-CNT contact resistance R_contact (Ohm) — ASSUMPTION: mid/typical simulation value (range in lit: 3.2k-100k)</t>
  </si>
  <si>
    <t xml:space="preserve">[CNT-R1] MDPI Crystals 2022 notes 3.2k as best-case Pd-contact lower bound; 10k used here as typical simulation value — STATE/CHANGE THIS if your project specifies a different contact quality</t>
  </si>
  <si>
    <t xml:space="preserve">Bundle center height y above ground plane — ASSUMPTION: y = wire height H (same plane geometry as Cu model)</t>
  </si>
  <si>
    <t xml:space="preserve">Assumption (not explicit in source formula); y taken equal to per-node H</t>
  </si>
  <si>
    <t xml:space="preserve">Bundle effective diameter d_bundle — ASSUMPTION: sqrt(W*H), equivalent circular cross-section of the W x H envelope</t>
  </si>
  <si>
    <t xml:space="preserve">Assumption (not explicit in source formula)</t>
  </si>
  <si>
    <t xml:space="preserve">Notes / methodology caveats:</t>
  </si>
  <si>
    <t xml:space="preserve">1. Cu resistivity: 45nm/22nm use the simplified FS approximation (valid d&gt;&gt;lambda); 14nm/7nm use the full FS integral evaluated numerically in Python because Excel/LibreOffice cannot evaluate this improper integral natively. Specularity p=0.5 assumed for 45/22nm (not explicitly given in source; typical partially-specular literature value); p=-0.2 used for 14/7nm per source's explicit recommendation.</t>
  </si>
  <si>
    <t xml:space="preserve">2. MS grain-boundary reflection coefficient R taken as 0.165 (midpoint of source's cited 0.16-0.17 range).</t>
  </si>
  <si>
    <t xml:space="preserve">3. Cu inductance (L_self) is a function of total wire length l (not purely per-unit-length) via the Neumann formula's ln(2l/(W+H)) term — computed separately for each of the 3 lengths.</t>
  </si>
  <si>
    <t xml:space="preserve">4. CNT contact resistance R_contact=10kOhm is a literature-typical mid-range assumption; change Assumptions!B(Rcontact) and everything recalculates.</t>
  </si>
  <si>
    <t xml:space="preserve">5. CNT electrostatic capacitance C_E requires a bundle-to-ground geometry (y, d_bundle) not fully specified in the source formula; y=H and d_bundle=sqrt(W*H) are stated assumptions here.</t>
  </si>
  <si>
    <t xml:space="preserve">6. All results are per single, isolated signal line (no adjacent-line loading beyond the S-dependent fringe capacitance term already built into the Cu Sakurai-Tamaru formula).</t>
  </si>
  <si>
    <t xml:space="preserve">7. Source document flags the exact 3-term Sakurai-Tamaru capacitance formula as an unverified attribution (likely Li et al. 2006 ITRS-fitted variant, not the original 1983 paper) — used as given since it is the formula supplied.</t>
  </si>
  <si>
    <t xml:space="preserve">8. [CORRECTION] Cu sheet Total Self-Inductance formulas (rows 24/30/36) originally omitted the length term required by the Neumann/Grover formula L=(mu0*l/2pi)[ln(2l/(W+H))+0.5+0.2235(W+H)/l] -- they computed (mu0/2pi)[...] with no *l, i.e. a per-metre density mislabeled as a total, too large by 1/l_metres (10000x at 100um, 2000x at 500um, 1000x at 1000um). Fixed here by inserting the missing *l (length in metres) factor. Corrected order-of-magnitude (~1.5-2.5 pH/um) matches published on-chip Cu self-inductance figures; Summary sheet L(Cu) values now update automatically.</t>
  </si>
  <si>
    <t xml:space="preserve">Copper Interconnect — R, L, C Calculation</t>
  </si>
  <si>
    <t xml:space="preserve">All formulas reference the Assumptions sheet. Change any blue input there and this sheet recalculates.</t>
  </si>
  <si>
    <t xml:space="preserve">STEP 1 — Per-Unit-Length Resistivity &amp; Resistance</t>
  </si>
  <si>
    <t xml:space="preserve">Quantity</t>
  </si>
  <si>
    <t xml:space="preserve">rho_FS multiplier (rho_FS/rho0)  [Assumptions!rho_fs_mult]</t>
  </si>
  <si>
    <t xml:space="preserve">alpha = (lambda/D) * R/(1-R)   [MS model]</t>
  </si>
  <si>
    <t xml:space="preserve">rho_MS multiplier (rho_MS/rho0)</t>
  </si>
  <si>
    <t xml:space="preserve">rho_eff = rho_FS_mult * rho0 * rho_MS_mult  (Ohm.m)</t>
  </si>
  <si>
    <t xml:space="preserve">rho_eff (uOhm.cm) — sanity check vs bulk 1.68</t>
  </si>
  <si>
    <t xml:space="preserve">W_eff = W - 2*t_barrier (nm)</t>
  </si>
  <si>
    <t xml:space="preserve">H_eff = H - t_barrier (nm)</t>
  </si>
  <si>
    <t xml:space="preserve">R per unit length = rho_eff / (W_eff*H_eff)   (Ohm/m)</t>
  </si>
  <si>
    <t xml:space="preserve">STEP 2 — Per-Unit-Length Capacitance (Sakurai-Tamaru, ITRS-fitted coefficients)</t>
  </si>
  <si>
    <t xml:space="preserve">C per unit length = eps0*epsr*[W/H + 2.04(S/(S+0.54H))^1.77 + 1.14(W/H)^0.06(S/(S+1.51H))^4.53]  (F/m)</t>
  </si>
  <si>
    <t xml:space="preserve">STEP 3 — Totals for Interconnect Lengths 100 / 500 / 1000 um</t>
  </si>
  <si>
    <t xml:space="preserve">Inductance uses the Neumann formula for a rectangular wire L_self=(mu0/2pi)[ln(2l/(W+H))+0.5+0.2235(W+H)/l]; this depends on total length l, so R, L, C totals are computed separately per length below.</t>
  </si>
  <si>
    <t xml:space="preserve">Length = 100 um</t>
  </si>
  <si>
    <t xml:space="preserve">Result</t>
  </si>
  <si>
    <t xml:space="preserve">Total Resistance R (Ohm)</t>
  </si>
  <si>
    <t xml:space="preserve">Total Self-Inductance L (nH)  [Neumann formula]</t>
  </si>
  <si>
    <t xml:space="preserve">Total Capacitance C (fF)</t>
  </si>
  <si>
    <t xml:space="preserve">Length = 500 um</t>
  </si>
  <si>
    <t xml:space="preserve">Length = 1000 um</t>
  </si>
  <si>
    <t xml:space="preserve">SWCNT Bundle Interconnect — R, L, C Calculation</t>
  </si>
  <si>
    <t xml:space="preserve">STEP 1 — Bundle Geometry</t>
  </si>
  <si>
    <t xml:space="preserve">N_total = INT(W/(d+delta)) * INT(H/(d+delta))</t>
  </si>
  <si>
    <t xml:space="preserve">N_m = ROUND(N_total * Fm, 0)   [metallic CNTs]</t>
  </si>
  <si>
    <t xml:space="preserve">STEP 2 — Effective Mean Free Path &amp; Per-CNT Quantum Resistance (node-independent)</t>
  </si>
  <si>
    <t xml:space="preserve">lambda_AC = 400/(T/300)  (nm)</t>
  </si>
  <si>
    <t xml:space="preserve">lambda_OP (nm)</t>
  </si>
  <si>
    <t xml:space="preserve">lambda_eff = 1/(1/lambda_AC + 1/lambda_OP)  (nm)</t>
  </si>
  <si>
    <t xml:space="preserve">R_Q = h/(4*e^2)  (Ohm)  [quantum/contact resistance, 4 channels]</t>
  </si>
  <si>
    <t xml:space="preserve">STEP 3 — Per-Unit-Length Inductance &amp; Capacitance</t>
  </si>
  <si>
    <t xml:space="preserve">L_K_tube = h/(4*e^2*vF)  (H/m)  [kinetic inductance, per CNT, all 4 channels]</t>
  </si>
  <si>
    <t xml:space="preserve">L_K_bundle = L_K_tube / N_m  (H/m)</t>
  </si>
  <si>
    <t xml:space="preserve">L_M = (mu0/2pi)*LN(2H/W+1)  (H/m)  [magnetic inductance]</t>
  </si>
  <si>
    <t xml:space="preserve">L per unit length = L_K_bundle + L_M  (H/m)</t>
  </si>
  <si>
    <t xml:space="preserve">C_Q = 4*e^2/(h*vF)  (F/m)  [quantum cap., per CNT]</t>
  </si>
  <si>
    <t xml:space="preserve">C_Q_bundle = C_Q * N_m  (F/m)</t>
  </si>
  <si>
    <t xml:space="preserve">Bundle effective diameter d_bundle = SQRT(W*H)  (nm)  [assumption]</t>
  </si>
  <si>
    <t xml:space="preserve">C_E = 2*pi*eps0*epsr / LN(2y/d_bundle)  (F/m)   [y = H, per assumption]</t>
  </si>
  <si>
    <t xml:space="preserve">C per unit length (series C_Q_bundle &amp; C_E) = (CQb*CE)/(CQb+CE)  (F/m)</t>
  </si>
  <si>
    <t xml:space="preserve">STEP 4 — Totals for Interconnect Lengths 100 / 500 / 1000 um</t>
  </si>
  <si>
    <t xml:space="preserve">R_scatter = R_Q*(L/lambda_eff) grows with length, so bundle resistance is computed per length. L and C per-unit-length quantities above are simply multiplied by length.</t>
  </si>
  <si>
    <t xml:space="preserve">Total Bundle Resistance R (Ohm) = (R_Q + R_Q*(L/lambda_eff) + R_contact) / N_m</t>
  </si>
  <si>
    <t xml:space="preserve">Total Inductance L (nH) = L_per_len * length</t>
  </si>
  <si>
    <t xml:space="preserve">Total Capacitance C (fF) = C_per_len * length</t>
  </si>
  <si>
    <t xml:space="preserve">Summary — Cu vs SWCNT Bundle: R, L, C for All Nodes and Lengths</t>
  </si>
  <si>
    <t xml:space="preserve">Pulled live from the Cu and CNT calculation sheets. Units: R in Ohm, L in nH, C in fF.</t>
  </si>
  <si>
    <t xml:space="preserve">INTERCONNECT LENGTH = 100 um</t>
  </si>
  <si>
    <t xml:space="preserve">Node</t>
  </si>
  <si>
    <t xml:space="preserve">Material</t>
  </si>
  <si>
    <t xml:space="preserve">R (Ohm)</t>
  </si>
  <si>
    <t xml:space="preserve">L (nH)</t>
  </si>
  <si>
    <t xml:space="preserve">C (fF)</t>
  </si>
  <si>
    <t xml:space="preserve">Cu</t>
  </si>
  <si>
    <t xml:space="preserve">CNT</t>
  </si>
  <si>
    <t xml:space="preserve">INTERCONNECT LENGTH = 500 um</t>
  </si>
  <si>
    <t xml:space="preserve">INTERCONNECT LENGTH = 1000 um</t>
  </si>
  <si>
    <t xml:space="preserve">How to use this sheet:</t>
  </si>
  <si>
    <t xml:space="preserve">- Assumptions sheet: every input value (geometry, physical constants, and stated modeling assumptions) with sources — edit blue cells only.</t>
  </si>
  <si>
    <t xml:space="preserve">- Cu sheet: step-by-step resistivity/capacitance/inductance derivation for copper, ending in R/L/C totals per node and length.</t>
  </si>
  <si>
    <t xml:space="preserve">- CNT sheet: step-by-step SWCNT bundle derivation, ending in R/L/C totals per node and length.</t>
  </si>
  <si>
    <t xml:space="preserve">- This Summary sheet: the final numbers you'll actually plug into ngspice/MATLAB, side by side for Cu vs CNT.</t>
  </si>
  <si>
    <t xml:space="preserve">- To change an assumption (e.g. R_contact, specularity p, or Fm for sorted CNTs), edit it once in Assumptions — every sheet recalculates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</si>
</sst>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2F5597"/>
        <bgColor rgb="FF666699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BFBFBF"/>
        <bgColor rgb="FFB7B7B7"/>
      </patternFill>
    </fill>
    <fill>
      <patternFill patternType="solid">
        <fgColor rgb="FF375623"/>
        <bgColor rgb="FF333300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1" t="s">
        <v>4</v>
      </c>
      <c r="B6" s="5" t="n">
        <v>8.854E-012</v>
      </c>
      <c r="F6" s="3" t="s">
        <v>5</v>
      </c>
    </row>
    <row r="7" customFormat="false" ht="15" hidden="false" customHeight="true" outlineLevel="0" collapsed="false">
      <c r="A7" s="1" t="s">
        <v>6</v>
      </c>
      <c r="B7" s="5" t="n">
        <v>1.25663706143592E-006</v>
      </c>
      <c r="F7" s="3" t="s">
        <v>7</v>
      </c>
    </row>
    <row r="8" customFormat="false" ht="15" hidden="false" customHeight="true" outlineLevel="0" collapsed="false">
      <c r="A8" s="1" t="s">
        <v>8</v>
      </c>
      <c r="B8" s="5" t="n">
        <v>6.62607015E-034</v>
      </c>
      <c r="F8" s="3" t="s">
        <v>9</v>
      </c>
    </row>
    <row r="9" customFormat="false" ht="15" hidden="false" customHeight="true" outlineLevel="0" collapsed="false">
      <c r="A9" s="1" t="s">
        <v>10</v>
      </c>
      <c r="B9" s="5" t="n">
        <v>1.602176634E-019</v>
      </c>
      <c r="F9" s="3" t="s">
        <v>9</v>
      </c>
    </row>
    <row r="10" customFormat="false" ht="15" hidden="false" customHeight="true" outlineLevel="0" collapsed="false">
      <c r="A10" s="1" t="s">
        <v>11</v>
      </c>
      <c r="B10" s="5" t="n">
        <v>800000</v>
      </c>
      <c r="F10" s="3" t="s">
        <v>12</v>
      </c>
    </row>
    <row r="11" customFormat="false" ht="15" hidden="false" customHeight="true" outlineLevel="0" collapsed="false">
      <c r="A11" s="1" t="s">
        <v>13</v>
      </c>
      <c r="B11" s="5" t="n">
        <v>1.68E-008</v>
      </c>
      <c r="F11" s="3" t="s">
        <v>14</v>
      </c>
    </row>
    <row r="12" customFormat="false" ht="15" hidden="false" customHeight="true" outlineLevel="0" collapsed="false">
      <c r="A12" s="1" t="s">
        <v>15</v>
      </c>
      <c r="B12" s="5" t="n">
        <v>3.9E-008</v>
      </c>
      <c r="F12" s="3" t="s">
        <v>16</v>
      </c>
    </row>
    <row r="13" customFormat="false" ht="15" hidden="false" customHeight="true" outlineLevel="0" collapsed="false">
      <c r="A13" s="1" t="s">
        <v>17</v>
      </c>
      <c r="B13" s="5" t="n">
        <v>300</v>
      </c>
      <c r="F13" s="3" t="s">
        <v>18</v>
      </c>
    </row>
    <row r="15" customFormat="false" ht="15" hidden="false" customHeight="true" outlineLevel="0" collapsed="false">
      <c r="A15" s="4" t="s">
        <v>19</v>
      </c>
    </row>
    <row r="16" customFormat="false" ht="15" hidden="false" customHeight="true" outlineLevel="0" collapsed="false">
      <c r="A16" s="6" t="s">
        <v>20</v>
      </c>
      <c r="B16" s="6" t="s">
        <v>21</v>
      </c>
      <c r="C16" s="6" t="s">
        <v>22</v>
      </c>
      <c r="D16" s="6" t="s">
        <v>23</v>
      </c>
      <c r="E16" s="6" t="s">
        <v>24</v>
      </c>
    </row>
    <row r="17" customFormat="false" ht="15" hidden="false" customHeight="true" outlineLevel="0" collapsed="false">
      <c r="A17" s="1" t="s">
        <v>25</v>
      </c>
      <c r="B17" s="5" t="n">
        <v>45</v>
      </c>
      <c r="C17" s="5" t="n">
        <v>22</v>
      </c>
      <c r="D17" s="5" t="n">
        <v>14</v>
      </c>
      <c r="E17" s="5" t="n">
        <v>7</v>
      </c>
    </row>
    <row r="18" customFormat="false" ht="15" hidden="false" customHeight="true" outlineLevel="0" collapsed="false">
      <c r="A18" s="1" t="s">
        <v>26</v>
      </c>
      <c r="B18" s="5" t="n">
        <v>1.7</v>
      </c>
      <c r="C18" s="5" t="n">
        <v>1.8</v>
      </c>
      <c r="D18" s="5" t="n">
        <v>1.9</v>
      </c>
      <c r="E18" s="5" t="n">
        <v>2</v>
      </c>
    </row>
    <row r="19" customFormat="false" ht="15" hidden="false" customHeight="true" outlineLevel="0" collapsed="false">
      <c r="A19" s="1" t="s">
        <v>27</v>
      </c>
      <c r="B19" s="5" t="n">
        <v>45</v>
      </c>
      <c r="C19" s="5" t="n">
        <v>22</v>
      </c>
      <c r="D19" s="5" t="n">
        <v>14</v>
      </c>
      <c r="E19" s="5" t="n">
        <v>7</v>
      </c>
    </row>
    <row r="20" customFormat="false" ht="15" hidden="false" customHeight="true" outlineLevel="0" collapsed="false">
      <c r="A20" s="1" t="s">
        <v>28</v>
      </c>
      <c r="B20" s="5" t="n">
        <v>3</v>
      </c>
      <c r="C20" s="5" t="n">
        <v>2.7</v>
      </c>
      <c r="D20" s="5" t="n">
        <v>2.5</v>
      </c>
      <c r="E20" s="5" t="n">
        <v>2.3</v>
      </c>
    </row>
    <row r="21" customFormat="false" ht="15" hidden="false" customHeight="true" outlineLevel="0" collapsed="false">
      <c r="A21" s="1" t="s">
        <v>29</v>
      </c>
      <c r="B21" s="5" t="n">
        <v>3.5</v>
      </c>
      <c r="C21" s="5" t="n">
        <v>2</v>
      </c>
      <c r="D21" s="5" t="n">
        <v>1.5</v>
      </c>
      <c r="E21" s="5" t="n">
        <v>1</v>
      </c>
    </row>
    <row r="22" customFormat="false" ht="15" hidden="false" customHeight="true" outlineLevel="0" collapsed="false">
      <c r="A22" s="1" t="s">
        <v>30</v>
      </c>
      <c r="B22" s="5" t="n">
        <v>1.6</v>
      </c>
      <c r="C22" s="5" t="n">
        <v>1.2</v>
      </c>
      <c r="D22" s="5" t="n">
        <v>1</v>
      </c>
      <c r="E22" s="5" t="n">
        <v>0.8</v>
      </c>
    </row>
    <row r="23" customFormat="false" ht="15" hidden="false" customHeight="true" outlineLevel="0" collapsed="false">
      <c r="A23" s="1" t="s">
        <v>31</v>
      </c>
      <c r="B23" s="5" t="n">
        <v>0.333333333333333</v>
      </c>
      <c r="C23" s="5" t="n">
        <v>0.333333333333333</v>
      </c>
      <c r="D23" s="5" t="n">
        <v>0.333333333333333</v>
      </c>
      <c r="E23" s="5" t="n">
        <v>0.333333333333333</v>
      </c>
    </row>
    <row r="24" customFormat="false" ht="15" hidden="false" customHeight="true" outlineLevel="0" collapsed="false">
      <c r="A24" s="1" t="s">
        <v>32</v>
      </c>
      <c r="B24" s="7" t="n">
        <f aca="false">B17*B18</f>
        <v>76.5</v>
      </c>
      <c r="C24" s="7" t="n">
        <f aca="false">C17*C18</f>
        <v>39.6</v>
      </c>
      <c r="D24" s="7" t="n">
        <f aca="false">D17*D18</f>
        <v>26.6</v>
      </c>
      <c r="E24" s="7" t="n">
        <f aca="false">E17*E18</f>
        <v>14</v>
      </c>
    </row>
    <row r="25" customFormat="false" ht="15" hidden="false" customHeight="true" outlineLevel="0" collapsed="false">
      <c r="A25" s="1" t="s">
        <v>33</v>
      </c>
      <c r="B25" s="7" t="n">
        <f aca="false">B17</f>
        <v>45</v>
      </c>
      <c r="C25" s="7" t="n">
        <f aca="false">C17</f>
        <v>22</v>
      </c>
      <c r="D25" s="7" t="n">
        <f aca="false">D17</f>
        <v>14</v>
      </c>
      <c r="E25" s="7" t="n">
        <f aca="false">E17</f>
        <v>7</v>
      </c>
    </row>
    <row r="27" customFormat="false" ht="15" hidden="false" customHeight="true" outlineLevel="0" collapsed="false">
      <c r="A27" s="4" t="s">
        <v>34</v>
      </c>
    </row>
    <row r="28" customFormat="false" ht="15" hidden="false" customHeight="true" outlineLevel="0" collapsed="false">
      <c r="A28" s="6" t="s">
        <v>20</v>
      </c>
      <c r="B28" s="6" t="s">
        <v>21</v>
      </c>
      <c r="C28" s="6" t="s">
        <v>22</v>
      </c>
      <c r="D28" s="6" t="s">
        <v>23</v>
      </c>
      <c r="E28" s="6" t="s">
        <v>24</v>
      </c>
    </row>
    <row r="29" customFormat="false" ht="15" hidden="false" customHeight="true" outlineLevel="0" collapsed="false">
      <c r="A29" s="1" t="s">
        <v>35</v>
      </c>
      <c r="B29" s="5" t="n">
        <v>0.5</v>
      </c>
      <c r="C29" s="5" t="n">
        <v>0.5</v>
      </c>
      <c r="D29" s="5" t="n">
        <v>-0.2</v>
      </c>
      <c r="E29" s="5" t="n">
        <v>-0.2</v>
      </c>
    </row>
    <row r="30" customFormat="false" ht="15" hidden="false" customHeight="true" outlineLevel="0" collapsed="false">
      <c r="A30" s="1" t="s">
        <v>36</v>
      </c>
      <c r="B30" s="5" t="s">
        <v>37</v>
      </c>
      <c r="C30" s="5" t="s">
        <v>37</v>
      </c>
      <c r="D30" s="5" t="s">
        <v>38</v>
      </c>
      <c r="E30" s="5" t="s">
        <v>38</v>
      </c>
    </row>
    <row r="31" customFormat="false" ht="15" hidden="false" customHeight="true" outlineLevel="0" collapsed="false">
      <c r="A31" s="1" t="s">
        <v>39</v>
      </c>
      <c r="B31" s="5" t="n">
        <v>0.165</v>
      </c>
      <c r="C31" s="5" t="n">
        <v>0.165</v>
      </c>
      <c r="D31" s="5" t="n">
        <v>0.165</v>
      </c>
      <c r="E31" s="5" t="n">
        <v>0.165</v>
      </c>
    </row>
    <row r="32" customFormat="false" ht="15" hidden="false" customHeight="true" outlineLevel="0" collapsed="false">
      <c r="A32" s="1" t="s">
        <v>40</v>
      </c>
      <c r="B32" s="7" t="n">
        <f aca="false">1+(3*B12*1000000000/(8*MIN(B17,B24)))*(1-B29)</f>
        <v>1.1625</v>
      </c>
      <c r="C32" s="7" t="n">
        <f aca="false">1+(3*B12*1000000000/(8*MIN(C17,C24)))*(1-C29)</f>
        <v>1.33238636363636</v>
      </c>
      <c r="D32" s="5" t="n">
        <v>2.601184</v>
      </c>
      <c r="E32" s="5" t="n">
        <v>3.984279</v>
      </c>
    </row>
    <row r="34" customFormat="false" ht="15" hidden="false" customHeight="true" outlineLevel="0" collapsed="false">
      <c r="A34" s="4" t="s">
        <v>41</v>
      </c>
    </row>
    <row r="35" customFormat="false" ht="15" hidden="false" customHeight="true" outlineLevel="0" collapsed="false">
      <c r="A35" s="1" t="s">
        <v>42</v>
      </c>
      <c r="B35" s="5" t="n">
        <v>0.34</v>
      </c>
      <c r="F35" s="3" t="s">
        <v>43</v>
      </c>
    </row>
    <row r="36" customFormat="false" ht="15" hidden="false" customHeight="true" outlineLevel="0" collapsed="false">
      <c r="A36" s="1" t="s">
        <v>44</v>
      </c>
      <c r="B36" s="5" t="n">
        <v>400</v>
      </c>
      <c r="F36" s="3" t="s">
        <v>45</v>
      </c>
    </row>
    <row r="37" customFormat="false" ht="15" hidden="false" customHeight="true" outlineLevel="0" collapsed="false">
      <c r="A37" s="1" t="s">
        <v>46</v>
      </c>
      <c r="B37" s="5" t="n">
        <v>56</v>
      </c>
      <c r="F37" s="3" t="s">
        <v>47</v>
      </c>
    </row>
    <row r="38" customFormat="false" ht="15" hidden="false" customHeight="true" outlineLevel="0" collapsed="false">
      <c r="A38" s="1" t="s">
        <v>48</v>
      </c>
      <c r="B38" s="5" t="n">
        <v>10000</v>
      </c>
      <c r="F38" s="3" t="s">
        <v>49</v>
      </c>
    </row>
    <row r="39" customFormat="false" ht="15" hidden="false" customHeight="true" outlineLevel="0" collapsed="false">
      <c r="A39" s="1" t="s">
        <v>50</v>
      </c>
      <c r="B39" s="5" t="n">
        <v>1</v>
      </c>
      <c r="F39" s="3" t="s">
        <v>51</v>
      </c>
    </row>
    <row r="40" customFormat="false" ht="15" hidden="false" customHeight="true" outlineLevel="0" collapsed="false">
      <c r="A40" s="1" t="s">
        <v>52</v>
      </c>
      <c r="F40" s="3" t="s">
        <v>53</v>
      </c>
    </row>
    <row r="42" customFormat="false" ht="15" hidden="false" customHeight="true" outlineLevel="0" collapsed="false">
      <c r="A42" s="8" t="s">
        <v>54</v>
      </c>
    </row>
    <row r="43" customFormat="false" ht="27.75" hidden="false" customHeight="true" outlineLevel="0" collapsed="false">
      <c r="A43" s="9" t="s">
        <v>55</v>
      </c>
      <c r="B43" s="9"/>
      <c r="C43" s="9"/>
      <c r="D43" s="9"/>
      <c r="E43" s="9"/>
      <c r="F43" s="9"/>
    </row>
    <row r="44" customFormat="false" ht="27.75" hidden="false" customHeight="true" outlineLevel="0" collapsed="false">
      <c r="A44" s="9" t="s">
        <v>56</v>
      </c>
      <c r="B44" s="9"/>
      <c r="C44" s="9"/>
      <c r="D44" s="9"/>
      <c r="E44" s="9"/>
      <c r="F44" s="9"/>
    </row>
    <row r="45" customFormat="false" ht="27.75" hidden="false" customHeight="true" outlineLevel="0" collapsed="false">
      <c r="A45" s="9" t="s">
        <v>57</v>
      </c>
      <c r="B45" s="9"/>
      <c r="C45" s="9"/>
      <c r="D45" s="9"/>
      <c r="E45" s="9"/>
      <c r="F45" s="9"/>
    </row>
    <row r="46" customFormat="false" ht="27.75" hidden="false" customHeight="true" outlineLevel="0" collapsed="false">
      <c r="A46" s="9" t="s">
        <v>58</v>
      </c>
      <c r="B46" s="9"/>
      <c r="C46" s="9"/>
      <c r="D46" s="9"/>
      <c r="E46" s="9"/>
      <c r="F46" s="9"/>
    </row>
    <row r="47" customFormat="false" ht="27.75" hidden="false" customHeight="true" outlineLevel="0" collapsed="false">
      <c r="A47" s="9" t="s">
        <v>59</v>
      </c>
      <c r="B47" s="9"/>
      <c r="C47" s="9"/>
      <c r="D47" s="9"/>
      <c r="E47" s="9"/>
      <c r="F47" s="9"/>
    </row>
    <row r="48" customFormat="false" ht="27.75" hidden="false" customHeight="true" outlineLevel="0" collapsed="false">
      <c r="A48" s="9" t="s">
        <v>60</v>
      </c>
      <c r="B48" s="9"/>
      <c r="C48" s="9"/>
      <c r="D48" s="9"/>
      <c r="E48" s="9"/>
      <c r="F48" s="9"/>
    </row>
    <row r="49" customFormat="false" ht="27.75" hidden="false" customHeight="true" outlineLevel="0" collapsed="false">
      <c r="A49" s="9" t="s">
        <v>61</v>
      </c>
      <c r="B49" s="9"/>
      <c r="C49" s="9"/>
      <c r="D49" s="9"/>
      <c r="E49" s="9"/>
      <c r="F49" s="9"/>
    </row>
    <row r="50" customFormat="false" ht="32.8" hidden="false" customHeight="true" outlineLevel="0" collapsed="false">
      <c r="A50" s="9" t="s">
        <v>62</v>
      </c>
      <c r="B50" s="9"/>
      <c r="C50" s="9"/>
      <c r="D50" s="9"/>
      <c r="E50" s="9"/>
      <c r="F50" s="9"/>
    </row>
  </sheetData>
  <mergeCells count="8">
    <mergeCell ref="A43:F43"/>
    <mergeCell ref="A44:F44"/>
    <mergeCell ref="A45:F45"/>
    <mergeCell ref="A46:F46"/>
    <mergeCell ref="A47:F47"/>
    <mergeCell ref="A48:F48"/>
    <mergeCell ref="A49:F49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63</v>
      </c>
    </row>
    <row r="2" customFormat="false" ht="15" hidden="false" customHeight="true" outlineLevel="0" collapsed="false">
      <c r="A2" s="3" t="s">
        <v>64</v>
      </c>
    </row>
    <row r="4" customFormat="false" ht="15" hidden="false" customHeight="true" outlineLevel="0" collapsed="false">
      <c r="A4" s="4" t="s">
        <v>65</v>
      </c>
    </row>
    <row r="5" customFormat="false" ht="15" hidden="false" customHeight="true" outlineLevel="0" collapsed="false">
      <c r="A5" s="6" t="s">
        <v>66</v>
      </c>
      <c r="B5" s="6" t="s">
        <v>21</v>
      </c>
      <c r="C5" s="6" t="s">
        <v>22</v>
      </c>
      <c r="D5" s="6" t="s">
        <v>23</v>
      </c>
      <c r="E5" s="6" t="s">
        <v>24</v>
      </c>
    </row>
    <row r="6" customFormat="false" ht="15" hidden="false" customHeight="true" outlineLevel="0" collapsed="false">
      <c r="A6" s="1" t="s">
        <v>67</v>
      </c>
      <c r="B6" s="7" t="n">
        <f aca="false">Assumptions!B32</f>
        <v>1.1625</v>
      </c>
      <c r="C6" s="7" t="n">
        <f aca="false">Assumptions!C32</f>
        <v>1.33238636363636</v>
      </c>
      <c r="D6" s="7" t="n">
        <f aca="false">Assumptions!D32</f>
        <v>2.601184</v>
      </c>
      <c r="E6" s="7" t="n">
        <f aca="false">Assumptions!E32</f>
        <v>3.984279</v>
      </c>
    </row>
    <row r="7" customFormat="false" ht="15" hidden="false" customHeight="true" outlineLevel="0" collapsed="false">
      <c r="A7" s="1" t="s">
        <v>68</v>
      </c>
      <c r="B7" s="7" t="n">
        <f aca="false">(Assumptions!$B$12*1000000000/Assumptions!B25)*Assumptions!B31/(1-Assumptions!B31)</f>
        <v>0.17125748502994</v>
      </c>
      <c r="C7" s="7" t="n">
        <f aca="false">(Assumptions!$B$12*1000000000/Assumptions!C25)*Assumptions!C31/(1-Assumptions!C31)</f>
        <v>0.350299401197605</v>
      </c>
      <c r="D7" s="7" t="n">
        <f aca="false">(Assumptions!$B$12*1000000000/Assumptions!D25)*Assumptions!D31/(1-Assumptions!D31)</f>
        <v>0.550470487596236</v>
      </c>
      <c r="E7" s="7" t="n">
        <f aca="false">(Assumptions!$B$12*1000000000/Assumptions!E25)*Assumptions!E31/(1-Assumptions!E31)</f>
        <v>1.10094097519247</v>
      </c>
    </row>
    <row r="8" customFormat="false" ht="15" hidden="false" customHeight="true" outlineLevel="0" collapsed="false">
      <c r="A8" s="1" t="s">
        <v>69</v>
      </c>
      <c r="B8" s="7" t="n">
        <f aca="false">1/(1-1.5*B7+3*B7^2-3*B7^3*LN(1+1/B7))</f>
        <v>1.24668152344362</v>
      </c>
      <c r="C8" s="7" t="n">
        <f aca="false">1/(1-1.5*C7+3*C7^2-3*C7^3*LN(1+1/C7))</f>
        <v>1.49548078492501</v>
      </c>
      <c r="D8" s="7" t="n">
        <f aca="false">1/(1-1.5*D7+3*D7^2-3*D7^3*LN(1+1/D7))</f>
        <v>1.7694232735341</v>
      </c>
      <c r="E8" s="7" t="n">
        <f aca="false">1/(1-1.5*E7+3*E7^2-3*E7^3*LN(1+1/E7))</f>
        <v>2.51371724076085</v>
      </c>
    </row>
    <row r="9" customFormat="false" ht="15" hidden="false" customHeight="true" outlineLevel="0" collapsed="false">
      <c r="A9" s="1" t="s">
        <v>70</v>
      </c>
      <c r="B9" s="7" t="n">
        <f aca="false">B6*Assumptions!$B$11*B8</f>
        <v>2.43476901528539E-008</v>
      </c>
      <c r="C9" s="7" t="n">
        <f aca="false">C6*Assumptions!$B$11*C8</f>
        <v>3.34749778425601E-008</v>
      </c>
      <c r="D9" s="7" t="n">
        <f aca="false">D6*Assumptions!$B$11*D8</f>
        <v>7.73236045401881E-008</v>
      </c>
      <c r="E9" s="7" t="n">
        <f aca="false">E6*Assumptions!$B$11*E8</f>
        <v>1.68257893680264E-007</v>
      </c>
    </row>
    <row r="10" customFormat="false" ht="15" hidden="false" customHeight="true" outlineLevel="0" collapsed="false">
      <c r="A10" s="1" t="s">
        <v>71</v>
      </c>
      <c r="B10" s="7" t="n">
        <f aca="false">B9*100000000</f>
        <v>2.43476901528539</v>
      </c>
      <c r="C10" s="7" t="n">
        <f aca="false">C9*100000000</f>
        <v>3.34749778425601</v>
      </c>
      <c r="D10" s="7" t="n">
        <f aca="false">D9*100000000</f>
        <v>7.73236045401881</v>
      </c>
      <c r="E10" s="7" t="n">
        <f aca="false">E9*100000000</f>
        <v>16.8257893680264</v>
      </c>
    </row>
    <row r="11" customFormat="false" ht="15" hidden="false" customHeight="true" outlineLevel="0" collapsed="false">
      <c r="A11" s="1" t="s">
        <v>72</v>
      </c>
      <c r="B11" s="7" t="n">
        <f aca="false">Assumptions!B17-2*Assumptions!B21</f>
        <v>38</v>
      </c>
      <c r="C11" s="7" t="n">
        <f aca="false">Assumptions!C17-2*Assumptions!C21</f>
        <v>18</v>
      </c>
      <c r="D11" s="7" t="n">
        <f aca="false">Assumptions!D17-2*Assumptions!D21</f>
        <v>11</v>
      </c>
      <c r="E11" s="7" t="n">
        <f aca="false">Assumptions!E17-2*Assumptions!E21</f>
        <v>5</v>
      </c>
    </row>
    <row r="12" customFormat="false" ht="15" hidden="false" customHeight="true" outlineLevel="0" collapsed="false">
      <c r="A12" s="1" t="s">
        <v>73</v>
      </c>
      <c r="B12" s="7" t="n">
        <f aca="false">Assumptions!B24-Assumptions!B21</f>
        <v>73</v>
      </c>
      <c r="C12" s="7" t="n">
        <f aca="false">Assumptions!C24-Assumptions!C21</f>
        <v>37.6</v>
      </c>
      <c r="D12" s="7" t="n">
        <f aca="false">Assumptions!D24-Assumptions!D21</f>
        <v>25.1</v>
      </c>
      <c r="E12" s="7" t="n">
        <f aca="false">Assumptions!E24-Assumptions!E21</f>
        <v>13</v>
      </c>
    </row>
    <row r="13" customFormat="false" ht="15" hidden="false" customHeight="true" outlineLevel="0" collapsed="false">
      <c r="A13" s="1" t="s">
        <v>74</v>
      </c>
      <c r="B13" s="7" t="n">
        <f aca="false">B9/((B11*0.000000001)*(B12*0.000000001))</f>
        <v>8777105.31826024</v>
      </c>
      <c r="C13" s="7" t="n">
        <f aca="false">C9/((C11*0.000000001)*(C12*0.000000001))</f>
        <v>49460664.6609931</v>
      </c>
      <c r="D13" s="7" t="n">
        <f aca="false">D9/((D11*0.000000001)*(D12*0.000000001))</f>
        <v>280056517.711655</v>
      </c>
      <c r="E13" s="7" t="n">
        <f aca="false">E9/((E11*0.000000001)*(E12*0.000000001))</f>
        <v>2588582979.69636</v>
      </c>
    </row>
    <row r="15" customFormat="false" ht="15" hidden="false" customHeight="true" outlineLevel="0" collapsed="false">
      <c r="A15" s="4" t="s">
        <v>75</v>
      </c>
    </row>
    <row r="16" customFormat="false" ht="15" hidden="false" customHeight="true" outlineLevel="0" collapsed="false">
      <c r="A16" s="1" t="s">
        <v>76</v>
      </c>
      <c r="B16" s="7" t="n">
        <f aca="false">Assumptions!$B$6*Assumptions!B20*( Assumptions!B17/Assumptions!B24 + 2.04*(Assumptions!B19/(Assumptions!B19+0.54*Assumptions!B24))^1.77 + 1.14*(Assumptions!B17/Assumptions!B24)^0.06*(Assumptions!B19/(Assumptions!B19+1.51*Assumptions!B24))^4.53 )</f>
        <v>3.28270060179059E-011</v>
      </c>
      <c r="C16" s="7" t="n">
        <f aca="false">Assumptions!$B$6*Assumptions!C20*( Assumptions!C17/Assumptions!C24 + 2.04*(Assumptions!C19/(Assumptions!C19+0.54*Assumptions!C24))^1.77 + 1.14*(Assumptions!C17/Assumptions!C24)^0.06*(Assumptions!C19/(Assumptions!C19+1.51*Assumptions!C24))^4.53 )</f>
        <v>2.80101229866747E-011</v>
      </c>
      <c r="D16" s="7" t="n">
        <f aca="false">Assumptions!$B$6*Assumptions!D20*( Assumptions!D17/Assumptions!D24 + 2.04*(Assumptions!D19/(Assumptions!D19+0.54*Assumptions!D24))^1.77 + 1.14*(Assumptions!D17/Assumptions!D24)^0.06*(Assumptions!D19/(Assumptions!D19+1.51*Assumptions!D24))^4.53 )</f>
        <v>2.46436011096596E-011</v>
      </c>
      <c r="E16" s="7" t="n">
        <f aca="false">Assumptions!$B$6*Assumptions!E20*( Assumptions!E17/Assumptions!E24 + 2.04*(Assumptions!E19/(Assumptions!E19+0.54*Assumptions!E24))^1.77 + 1.14*(Assumptions!E17/Assumptions!E24)^0.06*(Assumptions!E19/(Assumptions!E19+1.51*Assumptions!E24))^4.53 )</f>
        <v>2.15867392465671E-011</v>
      </c>
    </row>
    <row r="18" customFormat="false" ht="15" hidden="false" customHeight="true" outlineLevel="0" collapsed="false">
      <c r="A18" s="4" t="s">
        <v>77</v>
      </c>
    </row>
    <row r="19" customFormat="false" ht="27.75" hidden="false" customHeight="true" outlineLevel="0" collapsed="false">
      <c r="A19" s="10" t="s">
        <v>78</v>
      </c>
      <c r="B19" s="10"/>
      <c r="C19" s="10"/>
      <c r="D19" s="10"/>
      <c r="E19" s="10"/>
    </row>
    <row r="21" customFormat="false" ht="15" hidden="false" customHeight="true" outlineLevel="0" collapsed="false">
      <c r="A21" s="11" t="s">
        <v>79</v>
      </c>
      <c r="B21" s="12"/>
      <c r="C21" s="12"/>
      <c r="D21" s="12"/>
      <c r="E21" s="12"/>
    </row>
    <row r="22" customFormat="false" ht="15" hidden="false" customHeight="true" outlineLevel="0" collapsed="false">
      <c r="A22" s="6" t="s">
        <v>80</v>
      </c>
      <c r="B22" s="6" t="s">
        <v>21</v>
      </c>
      <c r="C22" s="6" t="s">
        <v>22</v>
      </c>
      <c r="D22" s="6" t="s">
        <v>23</v>
      </c>
      <c r="E22" s="6" t="s">
        <v>24</v>
      </c>
    </row>
    <row r="23" customFormat="false" ht="15" hidden="false" customHeight="true" outlineLevel="0" collapsed="false">
      <c r="A23" s="1" t="s">
        <v>81</v>
      </c>
      <c r="B23" s="13" t="n">
        <f aca="false">B13*100*0.000001</f>
        <v>877.710531826024</v>
      </c>
      <c r="C23" s="13" t="n">
        <f aca="false">C13*100*0.000001</f>
        <v>4946.06646609931</v>
      </c>
      <c r="D23" s="13" t="n">
        <f aca="false">D13*100*0.000001</f>
        <v>28005.6517711655</v>
      </c>
      <c r="E23" s="13" t="n">
        <f aca="false">E13*100*0.000001</f>
        <v>258858.297969636</v>
      </c>
    </row>
    <row r="24" customFormat="false" ht="15" hidden="false" customHeight="true" outlineLevel="0" collapsed="false">
      <c r="A24" s="1" t="s">
        <v>82</v>
      </c>
      <c r="B24" s="13" t="n">
        <f aca="false">(Assumptions!$B$7/(2*PI()))*(100*0.000001)*(LN(2*(100*0.000001)/((Assumptions!B17+Assumptions!B24)*0.000000001))+0.5+0.2235*((Assumptions!B17+Assumptions!B24)*0.000000001)/(100*0.000001))*1000000000</f>
        <v>0.158128598704992</v>
      </c>
      <c r="C24" s="13" t="n">
        <f aca="false">(Assumptions!$B$7/(2*PI()))*(100*0.000001)*(LN(2*(100*0.000001)/((Assumptions!C17+Assumptions!C24)*0.000000001))+0.5+0.2235*((Assumptions!C17+Assumptions!C24)*0.000000001)/(100*0.000001))*1000000000</f>
        <v>0.171710969019814</v>
      </c>
      <c r="D24" s="13" t="n">
        <f aca="false">(Assumptions!$B$7/(2*PI()))*(100*0.000001)*(LN(2*(100*0.000001)/((Assumptions!D17+Assumptions!D24)*0.000000001))+0.5+0.2235*((Assumptions!D17+Assumptions!D24)*0.000000001)/(100*0.000001))*1000000000</f>
        <v>0.18004790639845</v>
      </c>
      <c r="E24" s="13" t="n">
        <f aca="false">(Assumptions!$B$7/(2*PI()))*(100*0.000001)*(LN(2*(100*0.000001)/((Assumptions!E17+Assumptions!E24)*0.000000001))+0.5+0.2235*((Assumptions!E17+Assumptions!E24)*0.000000001)/(100*0.000001))*1000000000</f>
        <v>0.193231942856135</v>
      </c>
    </row>
    <row r="25" customFormat="false" ht="15" hidden="false" customHeight="true" outlineLevel="0" collapsed="false">
      <c r="A25" s="1" t="s">
        <v>83</v>
      </c>
      <c r="B25" s="13" t="n">
        <f aca="false">B16*100*0.000001*1000000000000000</f>
        <v>3.28270060179059</v>
      </c>
      <c r="C25" s="13" t="n">
        <f aca="false">C16*100*0.000001*1000000000000000</f>
        <v>2.80101229866747</v>
      </c>
      <c r="D25" s="13" t="n">
        <f aca="false">D16*100*0.000001*1000000000000000</f>
        <v>2.46436011096596</v>
      </c>
      <c r="E25" s="13" t="n">
        <f aca="false">E16*100*0.000001*1000000000000000</f>
        <v>2.15867392465671</v>
      </c>
    </row>
    <row r="27" customFormat="false" ht="15" hidden="false" customHeight="true" outlineLevel="0" collapsed="false">
      <c r="A27" s="11" t="s">
        <v>84</v>
      </c>
      <c r="B27" s="12"/>
      <c r="C27" s="12"/>
      <c r="D27" s="12"/>
      <c r="E27" s="12"/>
    </row>
    <row r="28" customFormat="false" ht="15" hidden="false" customHeight="true" outlineLevel="0" collapsed="false">
      <c r="A28" s="6" t="s">
        <v>80</v>
      </c>
      <c r="B28" s="6" t="s">
        <v>21</v>
      </c>
      <c r="C28" s="6" t="s">
        <v>22</v>
      </c>
      <c r="D28" s="6" t="s">
        <v>23</v>
      </c>
      <c r="E28" s="6" t="s">
        <v>24</v>
      </c>
    </row>
    <row r="29" customFormat="false" ht="15" hidden="false" customHeight="true" outlineLevel="0" collapsed="false">
      <c r="A29" s="1" t="s">
        <v>81</v>
      </c>
      <c r="B29" s="13" t="n">
        <f aca="false">B13*500*0.000001</f>
        <v>4388.55265913012</v>
      </c>
      <c r="C29" s="13" t="n">
        <f aca="false">C13*500*0.000001</f>
        <v>24730.3323304966</v>
      </c>
      <c r="D29" s="13" t="n">
        <f aca="false">D13*500*0.000001</f>
        <v>140028.258855828</v>
      </c>
      <c r="E29" s="13" t="n">
        <f aca="false">E13*500*0.000001</f>
        <v>1294291.48984818</v>
      </c>
    </row>
    <row r="30" customFormat="false" ht="15" hidden="false" customHeight="true" outlineLevel="0" collapsed="false">
      <c r="A30" s="1" t="s">
        <v>82</v>
      </c>
      <c r="B30" s="13" t="n">
        <f aca="false">(Assumptions!$B$7/(2*PI()))*(500*0.000001)*(LN(2*(500*0.000001)/((Assumptions!B17+Assumptions!B24)*0.000000001))+0.5+0.2235*((Assumptions!B17+Assumptions!B24)*0.000000001)/(500*0.000001))*1000000000</f>
        <v>0.951565060568369</v>
      </c>
      <c r="C30" s="13" t="n">
        <f aca="false">(Assumptions!$B$7/(2*PI()))*(500*0.000001)*(LN(2*(500*0.000001)/((Assumptions!C17+Assumptions!C24)*0.000000001))+0.5+0.2235*((Assumptions!C17+Assumptions!C24)*0.000000001)/(500*0.000001))*1000000000</f>
        <v>1.01948762226248</v>
      </c>
      <c r="D30" s="13" t="n">
        <f aca="false">(Assumptions!$B$7/(2*PI()))*(500*0.000001)*(LN(2*(500*0.000001)/((Assumptions!D17+Assumptions!D24)*0.000000001))+0.5+0.2235*((Assumptions!D17+Assumptions!D24)*0.000000001)/(500*0.000001))*1000000000</f>
        <v>1.06117606395566</v>
      </c>
      <c r="E30" s="13" t="n">
        <f aca="false">(Assumptions!$B$7/(2*PI()))*(500*0.000001)*(LN(2*(500*0.000001)/((Assumptions!E17+Assumptions!E24)*0.000000001))+0.5+0.2235*((Assumptions!E17+Assumptions!E24)*0.000000001)/(500*0.000001))*1000000000</f>
        <v>1.12709975072409</v>
      </c>
    </row>
    <row r="31" customFormat="false" ht="15" hidden="false" customHeight="true" outlineLevel="0" collapsed="false">
      <c r="A31" s="1" t="s">
        <v>83</v>
      </c>
      <c r="B31" s="13" t="n">
        <f aca="false">B16*500*0.000001*1000000000000000</f>
        <v>16.4135030089529</v>
      </c>
      <c r="C31" s="13" t="n">
        <f aca="false">C16*500*0.000001*1000000000000000</f>
        <v>14.0050614933373</v>
      </c>
      <c r="D31" s="13" t="n">
        <f aca="false">D16*500*0.000001*1000000000000000</f>
        <v>12.3218005548298</v>
      </c>
      <c r="E31" s="13" t="n">
        <f aca="false">E16*500*0.000001*1000000000000000</f>
        <v>10.7933696232835</v>
      </c>
    </row>
    <row r="33" customFormat="false" ht="15" hidden="false" customHeight="true" outlineLevel="0" collapsed="false">
      <c r="A33" s="11" t="s">
        <v>85</v>
      </c>
      <c r="B33" s="12"/>
      <c r="C33" s="12"/>
      <c r="D33" s="12"/>
      <c r="E33" s="12"/>
    </row>
    <row r="34" customFormat="false" ht="15" hidden="false" customHeight="true" outlineLevel="0" collapsed="false">
      <c r="A34" s="6" t="s">
        <v>80</v>
      </c>
      <c r="B34" s="6" t="s">
        <v>21</v>
      </c>
      <c r="C34" s="6" t="s">
        <v>22</v>
      </c>
      <c r="D34" s="6" t="s">
        <v>23</v>
      </c>
      <c r="E34" s="6" t="s">
        <v>24</v>
      </c>
    </row>
    <row r="35" customFormat="false" ht="15" hidden="false" customHeight="true" outlineLevel="0" collapsed="false">
      <c r="A35" s="1" t="s">
        <v>81</v>
      </c>
      <c r="B35" s="13" t="n">
        <f aca="false">B13*1000*0.000001</f>
        <v>8777.10531826024</v>
      </c>
      <c r="C35" s="13" t="n">
        <f aca="false">C13*1000*0.000001</f>
        <v>49460.6646609931</v>
      </c>
      <c r="D35" s="13" t="n">
        <f aca="false">D13*1000*0.000001</f>
        <v>280056.517711655</v>
      </c>
      <c r="E35" s="13" t="n">
        <f aca="false">E13*1000*0.000001</f>
        <v>2588582.97969636</v>
      </c>
    </row>
    <row r="36" customFormat="false" ht="15" hidden="false" customHeight="true" outlineLevel="0" collapsed="false">
      <c r="A36" s="1" t="s">
        <v>82</v>
      </c>
      <c r="B36" s="13" t="n">
        <f aca="false">(Assumptions!$B$7/(2*PI()))*(1000*0.000001)*(LN(2*(1000*0.000001)/((Assumptions!B17+Assumptions!B24)*0.000000001))+0.5+0.2235*((Assumptions!B17+Assumptions!B24)*0.000000001)/(1000*0.000001))*1000000000</f>
        <v>2.04175412619873</v>
      </c>
      <c r="C36" s="13" t="n">
        <f aca="false">(Assumptions!$B$7/(2*PI()))*(1000*0.000001)*(LN(2*(1000*0.000001)/((Assumptions!C17+Assumptions!C24)*0.000000001))+0.5+0.2235*((Assumptions!C17+Assumptions!C24)*0.000000001)/(1000*0.000001))*1000000000</f>
        <v>2.17760192711695</v>
      </c>
      <c r="D36" s="13" t="n">
        <f aca="false">(Assumptions!$B$7/(2*PI()))*(1000*0.000001)*(LN(2*(1000*0.000001)/((Assumptions!D17+Assumptions!D24)*0.000000001))+0.5+0.2235*((Assumptions!D17+Assumptions!D24)*0.000000001)/(1000*0.000001))*1000000000</f>
        <v>2.26097974920331</v>
      </c>
      <c r="E36" s="13" t="n">
        <f aca="false">(Assumptions!$B$7/(2*PI()))*(1000*0.000001)*(LN(2*(1000*0.000001)/((Assumptions!E17+Assumptions!E24)*0.000000001))+0.5+0.2235*((Assumptions!E17+Assumptions!E24)*0.000000001)/(1000*0.000001))*1000000000</f>
        <v>2.39282799886017</v>
      </c>
    </row>
    <row r="37" customFormat="false" ht="15" hidden="false" customHeight="true" outlineLevel="0" collapsed="false">
      <c r="A37" s="1" t="s">
        <v>83</v>
      </c>
      <c r="B37" s="13" t="n">
        <f aca="false">B16*1000*0.000001*1000000000000000</f>
        <v>32.8270060179059</v>
      </c>
      <c r="C37" s="13" t="n">
        <f aca="false">C16*1000*0.000001*1000000000000000</f>
        <v>28.0101229866747</v>
      </c>
      <c r="D37" s="13" t="n">
        <f aca="false">D16*1000*0.000001*1000000000000000</f>
        <v>24.6436011096596</v>
      </c>
      <c r="E37" s="13" t="n">
        <f aca="false">E16*1000*0.000001*1000000000000000</f>
        <v>21.5867392465671</v>
      </c>
    </row>
  </sheetData>
  <mergeCells count="1"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64</v>
      </c>
    </row>
    <row r="4" customFormat="false" ht="15" hidden="false" customHeight="true" outlineLevel="0" collapsed="false">
      <c r="A4" s="14" t="s">
        <v>87</v>
      </c>
    </row>
    <row r="5" customFormat="false" ht="15" hidden="false" customHeight="true" outlineLevel="0" collapsed="false">
      <c r="A5" s="15" t="s">
        <v>66</v>
      </c>
      <c r="B5" s="15" t="s">
        <v>21</v>
      </c>
      <c r="C5" s="15" t="s">
        <v>22</v>
      </c>
      <c r="D5" s="15" t="s">
        <v>23</v>
      </c>
      <c r="E5" s="15" t="s">
        <v>24</v>
      </c>
    </row>
    <row r="6" customFormat="false" ht="15" hidden="false" customHeight="true" outlineLevel="0" collapsed="false">
      <c r="A6" s="1" t="s">
        <v>88</v>
      </c>
      <c r="B6" s="7" t="n">
        <f aca="false">INT(Assumptions!B17/(Assumptions!B22+Assumptions!$B$35))*INT(Assumptions!B24/(Assumptions!B22+Assumptions!$B$35))</f>
        <v>897</v>
      </c>
      <c r="C6" s="7" t="n">
        <f aca="false">INT(Assumptions!C17/(Assumptions!C22+Assumptions!$B$35))*INT(Assumptions!C24/(Assumptions!C22+Assumptions!$B$35))</f>
        <v>350</v>
      </c>
      <c r="D6" s="7" t="n">
        <f aca="false">INT(Assumptions!D17/(Assumptions!D22+Assumptions!$B$35))*INT(Assumptions!D24/(Assumptions!D22+Assumptions!$B$35))</f>
        <v>190</v>
      </c>
      <c r="E6" s="7" t="n">
        <f aca="false">INT(Assumptions!E17/(Assumptions!E22+Assumptions!$B$35))*INT(Assumptions!E24/(Assumptions!E22+Assumptions!$B$35))</f>
        <v>72</v>
      </c>
    </row>
    <row r="7" customFormat="false" ht="15" hidden="false" customHeight="true" outlineLevel="0" collapsed="false">
      <c r="A7" s="1" t="s">
        <v>89</v>
      </c>
      <c r="B7" s="7" t="n">
        <f aca="false">ROUND(B6*Assumptions!B23,0)</f>
        <v>299</v>
      </c>
      <c r="C7" s="7" t="n">
        <f aca="false">ROUND(C6*Assumptions!C23,0)</f>
        <v>117</v>
      </c>
      <c r="D7" s="7" t="n">
        <f aca="false">ROUND(D6*Assumptions!D23,0)</f>
        <v>63</v>
      </c>
      <c r="E7" s="7" t="n">
        <f aca="false">ROUND(E6*Assumptions!E23,0)</f>
        <v>24</v>
      </c>
    </row>
    <row r="9" customFormat="false" ht="15" hidden="false" customHeight="true" outlineLevel="0" collapsed="false">
      <c r="A9" s="14" t="s">
        <v>90</v>
      </c>
    </row>
    <row r="10" customFormat="false" ht="15" hidden="false" customHeight="true" outlineLevel="0" collapsed="false">
      <c r="A10" s="1" t="s">
        <v>91</v>
      </c>
      <c r="B10" s="7" t="n">
        <f aca="false">Assumptions!$B$36/(Assumptions!$B$13/300)</f>
        <v>400</v>
      </c>
    </row>
    <row r="11" customFormat="false" ht="15" hidden="false" customHeight="true" outlineLevel="0" collapsed="false">
      <c r="A11" s="1" t="s">
        <v>92</v>
      </c>
      <c r="B11" s="7" t="n">
        <f aca="false">Assumptions!$B$37</f>
        <v>56</v>
      </c>
    </row>
    <row r="12" customFormat="false" ht="15" hidden="false" customHeight="true" outlineLevel="0" collapsed="false">
      <c r="A12" s="1" t="s">
        <v>93</v>
      </c>
      <c r="B12" s="7" t="n">
        <f aca="false">1/(1/B10+1/B11)</f>
        <v>49.1228070175439</v>
      </c>
    </row>
    <row r="13" customFormat="false" ht="15" hidden="false" customHeight="true" outlineLevel="0" collapsed="false">
      <c r="A13" s="1" t="s">
        <v>94</v>
      </c>
      <c r="B13" s="7" t="n">
        <f aca="false">Assumptions!$B$8/(4*Assumptions!$B$9^2)</f>
        <v>6453.20186482613</v>
      </c>
    </row>
    <row r="15" customFormat="false" ht="15" hidden="false" customHeight="true" outlineLevel="0" collapsed="false">
      <c r="A15" s="14" t="s">
        <v>95</v>
      </c>
    </row>
    <row r="16" customFormat="false" ht="15" hidden="false" customHeight="true" outlineLevel="0" collapsed="false">
      <c r="A16" s="1" t="s">
        <v>96</v>
      </c>
      <c r="B16" s="7" t="n">
        <f aca="false">Assumptions!$B$8/(4*Assumptions!$B$9^2*Assumptions!$B$10)</f>
        <v>0.00806650233103266</v>
      </c>
    </row>
    <row r="17" customFormat="false" ht="15" hidden="false" customHeight="true" outlineLevel="0" collapsed="false">
      <c r="A17" s="1" t="s">
        <v>97</v>
      </c>
      <c r="B17" s="7" t="n">
        <f aca="false">$B$16/B7</f>
        <v>2.69782686656611E-005</v>
      </c>
      <c r="C17" s="7" t="n">
        <f aca="false">$B$16/C7</f>
        <v>6.89444643678005E-005</v>
      </c>
      <c r="D17" s="7" t="n">
        <f aca="false">$B$16/D7</f>
        <v>0.000128039719540201</v>
      </c>
      <c r="E17" s="7" t="n">
        <f aca="false">$B$16/E7</f>
        <v>0.000336104263793028</v>
      </c>
    </row>
    <row r="18" customFormat="false" ht="15" hidden="false" customHeight="true" outlineLevel="0" collapsed="false">
      <c r="A18" s="1" t="s">
        <v>98</v>
      </c>
      <c r="B18" s="7" t="n">
        <f aca="false">(Assumptions!$B$7/(2*PI()))*LN(2*Assumptions!B24/Assumptions!B17+1)</f>
        <v>2.96320908184844E-007</v>
      </c>
      <c r="C18" s="7" t="n">
        <f aca="false">(Assumptions!$B$7/(2*PI()))*LN(2*Assumptions!C24/Assumptions!C17+1)</f>
        <v>3.05211260699011E-007</v>
      </c>
      <c r="D18" s="7" t="n">
        <f aca="false">(Assumptions!$B$7/(2*PI()))*LN(2*Assumptions!D24/Assumptions!D17+1)</f>
        <v>3.1372318358277E-007</v>
      </c>
      <c r="E18" s="7" t="n">
        <f aca="false">(Assumptions!$B$7/(2*PI()))*LN(2*Assumptions!E24/Assumptions!E17+1)</f>
        <v>3.21887582486821E-007</v>
      </c>
    </row>
    <row r="19" customFormat="false" ht="15" hidden="false" customHeight="true" outlineLevel="0" collapsed="false">
      <c r="A19" s="1" t="s">
        <v>99</v>
      </c>
      <c r="B19" s="7" t="n">
        <f aca="false">B17+B18</f>
        <v>2.72745895738459E-005</v>
      </c>
      <c r="C19" s="7" t="n">
        <f aca="false">C17+C18</f>
        <v>6.92496756284995E-005</v>
      </c>
      <c r="D19" s="7" t="n">
        <f aca="false">D17+D18</f>
        <v>0.000128353442723784</v>
      </c>
      <c r="E19" s="7" t="n">
        <f aca="false">E17+E18</f>
        <v>0.000336426151375514</v>
      </c>
    </row>
    <row r="20" customFormat="false" ht="15" hidden="false" customHeight="true" outlineLevel="0" collapsed="false">
      <c r="A20" s="1" t="s">
        <v>100</v>
      </c>
      <c r="B20" s="7" t="n">
        <f aca="false">4*Assumptions!$B$9^2/(Assumptions!$B$8*Assumptions!$B$10)</f>
        <v>1.93702293246591E-010</v>
      </c>
    </row>
    <row r="21" customFormat="false" ht="15" hidden="false" customHeight="true" outlineLevel="0" collapsed="false">
      <c r="A21" s="1" t="s">
        <v>101</v>
      </c>
      <c r="B21" s="7" t="n">
        <f aca="false">$B$20*B7</f>
        <v>5.79169856807308E-008</v>
      </c>
      <c r="C21" s="7" t="n">
        <f aca="false">$B$20*C7</f>
        <v>2.26631683098512E-008</v>
      </c>
      <c r="D21" s="7" t="n">
        <f aca="false">$B$20*D7</f>
        <v>1.22032444745352E-008</v>
      </c>
      <c r="E21" s="7" t="n">
        <f aca="false">$B$20*E7</f>
        <v>4.64885503791819E-009</v>
      </c>
    </row>
    <row r="22" customFormat="false" ht="15" hidden="false" customHeight="true" outlineLevel="0" collapsed="false">
      <c r="A22" s="1" t="s">
        <v>102</v>
      </c>
      <c r="B22" s="7" t="n">
        <f aca="false">SQRT(Assumptions!B17*Assumptions!B24)</f>
        <v>58.6728216468238</v>
      </c>
      <c r="C22" s="7" t="n">
        <f aca="false">SQRT(Assumptions!C17*Assumptions!C24)</f>
        <v>29.5160973029972</v>
      </c>
      <c r="D22" s="7" t="n">
        <f aca="false">SQRT(Assumptions!D17*Assumptions!D24)</f>
        <v>19.2976682529263</v>
      </c>
      <c r="E22" s="7" t="n">
        <f aca="false">SQRT(Assumptions!E17*Assumptions!E24)</f>
        <v>9.89949493661167</v>
      </c>
    </row>
    <row r="23" customFormat="false" ht="15" hidden="false" customHeight="true" outlineLevel="0" collapsed="false">
      <c r="A23" s="1" t="s">
        <v>103</v>
      </c>
      <c r="B23" s="7" t="n">
        <f aca="false">2*PI()*Assumptions!$B$6*Assumptions!B20/LN(2*(Assumptions!B24*Assumptions!$B$39)/B22)</f>
        <v>1.74126975255747E-010</v>
      </c>
      <c r="C23" s="7" t="n">
        <f aca="false">2*PI()*Assumptions!$B$6*Assumptions!C20/LN(2*(Assumptions!C24*Assumptions!$B$39)/C22)</f>
        <v>1.52176703323118E-010</v>
      </c>
      <c r="D23" s="7" t="n">
        <f aca="false">2*PI()*Assumptions!$B$6*Assumptions!D20/LN(2*(Assumptions!D24*Assumptions!$B$39)/D22)</f>
        <v>1.37148067908842E-010</v>
      </c>
      <c r="E23" s="7" t="n">
        <f aca="false">2*PI()*Assumptions!$B$6*Assumptions!E20/LN(2*(Assumptions!E24*Assumptions!$B$39)/E22)</f>
        <v>1.23063851200263E-010</v>
      </c>
    </row>
    <row r="24" customFormat="false" ht="15" hidden="false" customHeight="true" outlineLevel="0" collapsed="false">
      <c r="A24" s="1" t="s">
        <v>104</v>
      </c>
      <c r="B24" s="7" t="n">
        <f aca="false">(B21*B23)/(B21+B23)</f>
        <v>1.7360503304935E-010</v>
      </c>
      <c r="C24" s="7" t="n">
        <f aca="false">(C21*C23)/(C21+C23)</f>
        <v>1.51161695703425E-010</v>
      </c>
      <c r="D24" s="7" t="n">
        <f aca="false">(D21*D23)/(D21+D23)</f>
        <v>1.35623838232481E-010</v>
      </c>
      <c r="E24" s="7" t="n">
        <f aca="false">(E21*E23)/(E21+E23)</f>
        <v>1.19890136008503E-010</v>
      </c>
    </row>
    <row r="26" customFormat="false" ht="15" hidden="false" customHeight="true" outlineLevel="0" collapsed="false">
      <c r="A26" s="14" t="s">
        <v>105</v>
      </c>
    </row>
    <row r="27" customFormat="false" ht="27.75" hidden="false" customHeight="true" outlineLevel="0" collapsed="false">
      <c r="A27" s="10" t="s">
        <v>106</v>
      </c>
      <c r="B27" s="10"/>
      <c r="C27" s="10"/>
      <c r="D27" s="10"/>
      <c r="E27" s="10"/>
    </row>
    <row r="29" customFormat="false" ht="15" hidden="false" customHeight="true" outlineLevel="0" collapsed="false">
      <c r="A29" s="16" t="s">
        <v>79</v>
      </c>
      <c r="B29" s="17"/>
      <c r="C29" s="17"/>
      <c r="D29" s="17"/>
      <c r="E29" s="17"/>
    </row>
    <row r="30" customFormat="false" ht="15" hidden="false" customHeight="true" outlineLevel="0" collapsed="false">
      <c r="A30" s="15" t="s">
        <v>80</v>
      </c>
      <c r="B30" s="15" t="s">
        <v>21</v>
      </c>
      <c r="C30" s="15" t="s">
        <v>22</v>
      </c>
      <c r="D30" s="15" t="s">
        <v>23</v>
      </c>
      <c r="E30" s="15" t="s">
        <v>24</v>
      </c>
    </row>
    <row r="31" customFormat="false" ht="15" hidden="false" customHeight="true" outlineLevel="0" collapsed="false">
      <c r="A31" s="1" t="s">
        <v>107</v>
      </c>
      <c r="B31" s="13" t="n">
        <f aca="false">($B$13+$B$13*((100*1000)/$B$12)+Assumptions!$B$38)/B7</f>
        <v>43991.0649722055</v>
      </c>
      <c r="C31" s="13" t="n">
        <f aca="false">($B$13+$B$13*((100*1000)/$B$12)+Assumptions!$B$38)/C7</f>
        <v>112421.610484525</v>
      </c>
      <c r="D31" s="13" t="n">
        <f aca="false">($B$13+$B$13*((100*1000)/$B$12)+Assumptions!$B$38)/D7</f>
        <v>208782.990899832</v>
      </c>
      <c r="E31" s="13" t="n">
        <f aca="false">($B$13+$B$13*((100*1000)/$B$12)+Assumptions!$B$38)/E7</f>
        <v>548055.35111206</v>
      </c>
    </row>
    <row r="32" customFormat="false" ht="15" hidden="false" customHeight="true" outlineLevel="0" collapsed="false">
      <c r="A32" s="1" t="s">
        <v>108</v>
      </c>
      <c r="B32" s="13" t="n">
        <f aca="false">B19*100*0.000001*1000000000</f>
        <v>2.72745895738459</v>
      </c>
      <c r="C32" s="13" t="n">
        <f aca="false">C19*100*0.000001*1000000000</f>
        <v>6.92496756284995</v>
      </c>
      <c r="D32" s="13" t="n">
        <f aca="false">D19*100*0.000001*1000000000</f>
        <v>12.8353442723784</v>
      </c>
      <c r="E32" s="13" t="n">
        <f aca="false">E19*100*0.000001*1000000000</f>
        <v>33.6426151375514</v>
      </c>
    </row>
    <row r="33" customFormat="false" ht="15" hidden="false" customHeight="true" outlineLevel="0" collapsed="false">
      <c r="A33" s="1" t="s">
        <v>109</v>
      </c>
      <c r="B33" s="13" t="n">
        <f aca="false">B24*100*0.000001*1000000000000000</f>
        <v>17.360503304935</v>
      </c>
      <c r="C33" s="13" t="n">
        <f aca="false">C24*100*0.000001*1000000000000000</f>
        <v>15.1161695703425</v>
      </c>
      <c r="D33" s="13" t="n">
        <f aca="false">D24*100*0.000001*1000000000000000</f>
        <v>13.5623838232481</v>
      </c>
      <c r="E33" s="13" t="n">
        <f aca="false">E24*100*0.000001*1000000000000000</f>
        <v>11.9890136008503</v>
      </c>
    </row>
    <row r="35" customFormat="false" ht="15" hidden="false" customHeight="true" outlineLevel="0" collapsed="false">
      <c r="A35" s="16" t="s">
        <v>84</v>
      </c>
      <c r="B35" s="17"/>
      <c r="C35" s="17"/>
      <c r="D35" s="17"/>
      <c r="E35" s="17"/>
    </row>
    <row r="36" customFormat="false" ht="15" hidden="false" customHeight="true" outlineLevel="0" collapsed="false">
      <c r="A36" s="15" t="s">
        <v>80</v>
      </c>
      <c r="B36" s="15" t="s">
        <v>21</v>
      </c>
      <c r="C36" s="15" t="s">
        <v>22</v>
      </c>
      <c r="D36" s="15" t="s">
        <v>23</v>
      </c>
      <c r="E36" s="15" t="s">
        <v>24</v>
      </c>
    </row>
    <row r="37" customFormat="false" ht="15" hidden="false" customHeight="true" outlineLevel="0" collapsed="false">
      <c r="A37" s="1" t="s">
        <v>107</v>
      </c>
      <c r="B37" s="13" t="n">
        <f aca="false">($B$13+$B$13*((500*1000)/$B$12)+Assumptions!$B$38)/B7</f>
        <v>219735.215137083</v>
      </c>
      <c r="C37" s="13" t="n">
        <f aca="false">($B$13+$B$13*((500*1000)/$B$12)+Assumptions!$B$38)/C7</f>
        <v>561545.549794768</v>
      </c>
      <c r="D37" s="13" t="n">
        <f aca="false">($B$13+$B$13*((500*1000)/$B$12)+Assumptions!$B$38)/D7</f>
        <v>1042870.30676171</v>
      </c>
      <c r="E37" s="13" t="n">
        <f aca="false">($B$13+$B$13*((500*1000)/$B$12)+Assumptions!$B$38)/E7</f>
        <v>2737534.5552495</v>
      </c>
    </row>
    <row r="38" customFormat="false" ht="15" hidden="false" customHeight="true" outlineLevel="0" collapsed="false">
      <c r="A38" s="1" t="s">
        <v>108</v>
      </c>
      <c r="B38" s="13" t="n">
        <f aca="false">B19*500*0.000001*1000000000</f>
        <v>13.637294786923</v>
      </c>
      <c r="C38" s="13" t="n">
        <f aca="false">C19*500*0.000001*1000000000</f>
        <v>34.6248378142498</v>
      </c>
      <c r="D38" s="13" t="n">
        <f aca="false">D19*500*0.000001*1000000000</f>
        <v>64.1767213618919</v>
      </c>
      <c r="E38" s="13" t="n">
        <f aca="false">E19*500*0.000001*1000000000</f>
        <v>168.213075687757</v>
      </c>
    </row>
    <row r="39" customFormat="false" ht="15" hidden="false" customHeight="true" outlineLevel="0" collapsed="false">
      <c r="A39" s="1" t="s">
        <v>109</v>
      </c>
      <c r="B39" s="13" t="n">
        <f aca="false">B24*500*0.000001*1000000000000000</f>
        <v>86.8025165246752</v>
      </c>
      <c r="C39" s="13" t="n">
        <f aca="false">C24*500*0.000001*1000000000000000</f>
        <v>75.5808478517125</v>
      </c>
      <c r="D39" s="13" t="n">
        <f aca="false">D24*500*0.000001*1000000000000000</f>
        <v>67.8119191162406</v>
      </c>
      <c r="E39" s="13" t="n">
        <f aca="false">E24*500*0.000001*1000000000000000</f>
        <v>59.9450680042517</v>
      </c>
    </row>
    <row r="41" customFormat="false" ht="15" hidden="false" customHeight="true" outlineLevel="0" collapsed="false">
      <c r="A41" s="16" t="s">
        <v>85</v>
      </c>
      <c r="B41" s="17"/>
      <c r="C41" s="17"/>
      <c r="D41" s="17"/>
      <c r="E41" s="17"/>
    </row>
    <row r="42" customFormat="false" ht="15" hidden="false" customHeight="true" outlineLevel="0" collapsed="false">
      <c r="A42" s="15" t="s">
        <v>80</v>
      </c>
      <c r="B42" s="15" t="s">
        <v>21</v>
      </c>
      <c r="C42" s="15" t="s">
        <v>22</v>
      </c>
      <c r="D42" s="15" t="s">
        <v>23</v>
      </c>
      <c r="E42" s="15" t="s">
        <v>24</v>
      </c>
    </row>
    <row r="43" customFormat="false" ht="15" hidden="false" customHeight="true" outlineLevel="0" collapsed="false">
      <c r="A43" s="1" t="s">
        <v>107</v>
      </c>
      <c r="B43" s="13" t="n">
        <f aca="false">($B$13+$B$13*((1000*1000)/$B$12)+Assumptions!$B$38)/B7</f>
        <v>439415.402843181</v>
      </c>
      <c r="C43" s="13" t="n">
        <f aca="false">($B$13+$B$13*((1000*1000)/$B$12)+Assumptions!$B$38)/C7</f>
        <v>1122950.47393257</v>
      </c>
      <c r="D43" s="13" t="n">
        <f aca="false">($B$13+$B$13*((1000*1000)/$B$12)+Assumptions!$B$38)/D7</f>
        <v>2085479.45158906</v>
      </c>
      <c r="E43" s="13" t="n">
        <f aca="false">($B$13+$B$13*((1000*1000)/$B$12)+Assumptions!$B$38)/E7</f>
        <v>5474383.56042129</v>
      </c>
    </row>
    <row r="44" customFormat="false" ht="15" hidden="false" customHeight="true" outlineLevel="0" collapsed="false">
      <c r="A44" s="1" t="s">
        <v>108</v>
      </c>
      <c r="B44" s="13" t="n">
        <f aca="false">B19*1000*0.000001*1000000000</f>
        <v>27.2745895738459</v>
      </c>
      <c r="C44" s="13" t="n">
        <f aca="false">C19*1000*0.000001*1000000000</f>
        <v>69.2496756284995</v>
      </c>
      <c r="D44" s="13" t="n">
        <f aca="false">D19*1000*0.000001*1000000000</f>
        <v>128.353442723784</v>
      </c>
      <c r="E44" s="13" t="n">
        <f aca="false">E19*1000*0.000001*1000000000</f>
        <v>336.426151375514</v>
      </c>
    </row>
    <row r="45" customFormat="false" ht="15" hidden="false" customHeight="true" outlineLevel="0" collapsed="false">
      <c r="A45" s="1" t="s">
        <v>109</v>
      </c>
      <c r="B45" s="13" t="n">
        <f aca="false">B24*1000*0.000001*1000000000000000</f>
        <v>173.60503304935</v>
      </c>
      <c r="C45" s="13" t="n">
        <f aca="false">C24*1000*0.000001*1000000000000000</f>
        <v>151.161695703425</v>
      </c>
      <c r="D45" s="13" t="n">
        <f aca="false">D24*1000*0.000001*1000000000000000</f>
        <v>135.623838232481</v>
      </c>
      <c r="E45" s="13" t="n">
        <f aca="false">E24*1000*0.000001*1000000000000000</f>
        <v>119.890136008503</v>
      </c>
    </row>
  </sheetData>
  <mergeCells count="1"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9" min="3" style="1" width="13"/>
  </cols>
  <sheetData>
    <row r="1" customFormat="false" ht="17.25" hidden="false" customHeight="true" outlineLevel="0" collapsed="false">
      <c r="A1" s="2" t="s">
        <v>110</v>
      </c>
    </row>
    <row r="2" customFormat="false" ht="15" hidden="false" customHeight="true" outlineLevel="0" collapsed="false">
      <c r="A2" s="3" t="s">
        <v>111</v>
      </c>
    </row>
    <row r="4" customFormat="false" ht="15" hidden="false" customHeight="true" outlineLevel="0" collapsed="false">
      <c r="A4" s="18" t="s">
        <v>112</v>
      </c>
      <c r="B4" s="18"/>
      <c r="C4" s="18"/>
      <c r="D4" s="18"/>
      <c r="E4" s="18"/>
      <c r="F4" s="18"/>
      <c r="G4" s="18"/>
      <c r="H4" s="18"/>
      <c r="I4" s="18"/>
    </row>
    <row r="5" customFormat="false" ht="15" hidden="false" customHeight="true" outlineLevel="0" collapsed="false">
      <c r="A5" s="19" t="s">
        <v>113</v>
      </c>
      <c r="B5" s="19" t="s">
        <v>114</v>
      </c>
      <c r="C5" s="19" t="s">
        <v>115</v>
      </c>
      <c r="D5" s="19" t="s">
        <v>116</v>
      </c>
      <c r="E5" s="19" t="s">
        <v>117</v>
      </c>
    </row>
    <row r="6" customFormat="false" ht="15" hidden="false" customHeight="true" outlineLevel="0" collapsed="false">
      <c r="A6" s="20" t="s">
        <v>21</v>
      </c>
      <c r="B6" s="20" t="s">
        <v>118</v>
      </c>
      <c r="C6" s="21" t="n">
        <f aca="false">Cu!B23</f>
        <v>877.710531826024</v>
      </c>
      <c r="D6" s="21" t="n">
        <f aca="false">Cu!B24</f>
        <v>0.158128598704992</v>
      </c>
      <c r="E6" s="21" t="n">
        <f aca="false">Cu!B25</f>
        <v>3.28270060179059</v>
      </c>
    </row>
    <row r="7" customFormat="false" ht="15" hidden="false" customHeight="true" outlineLevel="0" collapsed="false">
      <c r="A7" s="22" t="s">
        <v>21</v>
      </c>
      <c r="B7" s="22" t="s">
        <v>119</v>
      </c>
      <c r="C7" s="23" t="n">
        <f aca="false">CNT!B31</f>
        <v>43991.0649722055</v>
      </c>
      <c r="D7" s="23" t="n">
        <f aca="false">CNT!B32</f>
        <v>2.72745895738459</v>
      </c>
      <c r="E7" s="23" t="n">
        <f aca="false">CNT!B33</f>
        <v>17.360503304935</v>
      </c>
    </row>
    <row r="8" customFormat="false" ht="15" hidden="false" customHeight="true" outlineLevel="0" collapsed="false">
      <c r="A8" s="20" t="s">
        <v>22</v>
      </c>
      <c r="B8" s="20" t="s">
        <v>118</v>
      </c>
      <c r="C8" s="21" t="n">
        <f aca="false">Cu!C23</f>
        <v>4946.06646609931</v>
      </c>
      <c r="D8" s="21" t="n">
        <f aca="false">Cu!C24</f>
        <v>0.171710969019814</v>
      </c>
      <c r="E8" s="21" t="n">
        <f aca="false">Cu!C25</f>
        <v>2.80101229866747</v>
      </c>
    </row>
    <row r="9" customFormat="false" ht="15" hidden="false" customHeight="true" outlineLevel="0" collapsed="false">
      <c r="A9" s="22" t="s">
        <v>22</v>
      </c>
      <c r="B9" s="22" t="s">
        <v>119</v>
      </c>
      <c r="C9" s="23" t="n">
        <f aca="false">CNT!C31</f>
        <v>112421.610484525</v>
      </c>
      <c r="D9" s="23" t="n">
        <f aca="false">CNT!C32</f>
        <v>6.92496756284995</v>
      </c>
      <c r="E9" s="23" t="n">
        <f aca="false">CNT!C33</f>
        <v>15.1161695703425</v>
      </c>
    </row>
    <row r="10" customFormat="false" ht="15" hidden="false" customHeight="true" outlineLevel="0" collapsed="false">
      <c r="A10" s="20" t="s">
        <v>23</v>
      </c>
      <c r="B10" s="20" t="s">
        <v>118</v>
      </c>
      <c r="C10" s="21" t="n">
        <f aca="false">Cu!D23</f>
        <v>28005.6517711655</v>
      </c>
      <c r="D10" s="21" t="n">
        <f aca="false">Cu!D24</f>
        <v>0.18004790639845</v>
      </c>
      <c r="E10" s="21" t="n">
        <f aca="false">Cu!D25</f>
        <v>2.46436011096596</v>
      </c>
    </row>
    <row r="11" customFormat="false" ht="15" hidden="false" customHeight="true" outlineLevel="0" collapsed="false">
      <c r="A11" s="22" t="s">
        <v>23</v>
      </c>
      <c r="B11" s="22" t="s">
        <v>119</v>
      </c>
      <c r="C11" s="23" t="n">
        <f aca="false">CNT!D31</f>
        <v>208782.990899832</v>
      </c>
      <c r="D11" s="23" t="n">
        <f aca="false">CNT!D32</f>
        <v>12.8353442723784</v>
      </c>
      <c r="E11" s="23" t="n">
        <f aca="false">CNT!D33</f>
        <v>13.5623838232481</v>
      </c>
    </row>
    <row r="12" customFormat="false" ht="15" hidden="false" customHeight="true" outlineLevel="0" collapsed="false">
      <c r="A12" s="20" t="s">
        <v>24</v>
      </c>
      <c r="B12" s="20" t="s">
        <v>118</v>
      </c>
      <c r="C12" s="21" t="n">
        <f aca="false">Cu!E23</f>
        <v>258858.297969636</v>
      </c>
      <c r="D12" s="21" t="n">
        <f aca="false">Cu!E24</f>
        <v>0.193231942856135</v>
      </c>
      <c r="E12" s="21" t="n">
        <f aca="false">Cu!E25</f>
        <v>2.15867392465671</v>
      </c>
    </row>
    <row r="13" customFormat="false" ht="15" hidden="false" customHeight="true" outlineLevel="0" collapsed="false">
      <c r="A13" s="22" t="s">
        <v>24</v>
      </c>
      <c r="B13" s="22" t="s">
        <v>119</v>
      </c>
      <c r="C13" s="23" t="n">
        <f aca="false">CNT!E31</f>
        <v>548055.35111206</v>
      </c>
      <c r="D13" s="23" t="n">
        <f aca="false">CNT!E32</f>
        <v>33.6426151375514</v>
      </c>
      <c r="E13" s="23" t="n">
        <f aca="false">CNT!E33</f>
        <v>11.9890136008503</v>
      </c>
    </row>
    <row r="15" customFormat="false" ht="15" hidden="false" customHeight="true" outlineLevel="0" collapsed="false">
      <c r="A15" s="18" t="s">
        <v>120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true" outlineLevel="0" collapsed="false">
      <c r="A16" s="19" t="s">
        <v>113</v>
      </c>
      <c r="B16" s="19" t="s">
        <v>114</v>
      </c>
      <c r="C16" s="19" t="s">
        <v>115</v>
      </c>
      <c r="D16" s="19" t="s">
        <v>116</v>
      </c>
      <c r="E16" s="19" t="s">
        <v>117</v>
      </c>
    </row>
    <row r="17" customFormat="false" ht="15" hidden="false" customHeight="true" outlineLevel="0" collapsed="false">
      <c r="A17" s="20" t="s">
        <v>21</v>
      </c>
      <c r="B17" s="20" t="s">
        <v>118</v>
      </c>
      <c r="C17" s="21" t="n">
        <f aca="false">Cu!B29</f>
        <v>4388.55265913012</v>
      </c>
      <c r="D17" s="21" t="n">
        <f aca="false">Cu!B30</f>
        <v>0.951565060568369</v>
      </c>
      <c r="E17" s="21" t="n">
        <f aca="false">Cu!B31</f>
        <v>16.4135030089529</v>
      </c>
    </row>
    <row r="18" customFormat="false" ht="15" hidden="false" customHeight="true" outlineLevel="0" collapsed="false">
      <c r="A18" s="22" t="s">
        <v>21</v>
      </c>
      <c r="B18" s="22" t="s">
        <v>119</v>
      </c>
      <c r="C18" s="23" t="n">
        <f aca="false">CNT!B37</f>
        <v>219735.215137083</v>
      </c>
      <c r="D18" s="23" t="n">
        <f aca="false">CNT!B38</f>
        <v>13.637294786923</v>
      </c>
      <c r="E18" s="23" t="n">
        <f aca="false">CNT!B39</f>
        <v>86.8025165246752</v>
      </c>
    </row>
    <row r="19" customFormat="false" ht="15" hidden="false" customHeight="true" outlineLevel="0" collapsed="false">
      <c r="A19" s="20" t="s">
        <v>22</v>
      </c>
      <c r="B19" s="20" t="s">
        <v>118</v>
      </c>
      <c r="C19" s="21" t="n">
        <f aca="false">Cu!C29</f>
        <v>24730.3323304966</v>
      </c>
      <c r="D19" s="21" t="n">
        <f aca="false">Cu!C30</f>
        <v>1.01948762226248</v>
      </c>
      <c r="E19" s="21" t="n">
        <f aca="false">Cu!C31</f>
        <v>14.0050614933373</v>
      </c>
    </row>
    <row r="20" customFormat="false" ht="15" hidden="false" customHeight="true" outlineLevel="0" collapsed="false">
      <c r="A20" s="22" t="s">
        <v>22</v>
      </c>
      <c r="B20" s="22" t="s">
        <v>119</v>
      </c>
      <c r="C20" s="23" t="n">
        <f aca="false">CNT!C37</f>
        <v>561545.549794768</v>
      </c>
      <c r="D20" s="23" t="n">
        <f aca="false">CNT!C38</f>
        <v>34.6248378142498</v>
      </c>
      <c r="E20" s="23" t="n">
        <f aca="false">CNT!C39</f>
        <v>75.5808478517125</v>
      </c>
    </row>
    <row r="21" customFormat="false" ht="15" hidden="false" customHeight="true" outlineLevel="0" collapsed="false">
      <c r="A21" s="20" t="s">
        <v>23</v>
      </c>
      <c r="B21" s="20" t="s">
        <v>118</v>
      </c>
      <c r="C21" s="21" t="n">
        <f aca="false">Cu!D29</f>
        <v>140028.258855828</v>
      </c>
      <c r="D21" s="21" t="n">
        <f aca="false">Cu!D30</f>
        <v>1.06117606395566</v>
      </c>
      <c r="E21" s="21" t="n">
        <f aca="false">Cu!D31</f>
        <v>12.3218005548298</v>
      </c>
    </row>
    <row r="22" customFormat="false" ht="15" hidden="false" customHeight="true" outlineLevel="0" collapsed="false">
      <c r="A22" s="22" t="s">
        <v>23</v>
      </c>
      <c r="B22" s="22" t="s">
        <v>119</v>
      </c>
      <c r="C22" s="23" t="n">
        <f aca="false">CNT!D37</f>
        <v>1042870.30676171</v>
      </c>
      <c r="D22" s="23" t="n">
        <f aca="false">CNT!D38</f>
        <v>64.1767213618919</v>
      </c>
      <c r="E22" s="23" t="n">
        <f aca="false">CNT!D39</f>
        <v>67.8119191162406</v>
      </c>
    </row>
    <row r="23" customFormat="false" ht="15" hidden="false" customHeight="true" outlineLevel="0" collapsed="false">
      <c r="A23" s="20" t="s">
        <v>24</v>
      </c>
      <c r="B23" s="20" t="s">
        <v>118</v>
      </c>
      <c r="C23" s="21" t="n">
        <f aca="false">Cu!E29</f>
        <v>1294291.48984818</v>
      </c>
      <c r="D23" s="21" t="n">
        <f aca="false">Cu!E30</f>
        <v>1.12709975072409</v>
      </c>
      <c r="E23" s="21" t="n">
        <f aca="false">Cu!E31</f>
        <v>10.7933696232835</v>
      </c>
    </row>
    <row r="24" customFormat="false" ht="15" hidden="false" customHeight="true" outlineLevel="0" collapsed="false">
      <c r="A24" s="22" t="s">
        <v>24</v>
      </c>
      <c r="B24" s="22" t="s">
        <v>119</v>
      </c>
      <c r="C24" s="23" t="n">
        <f aca="false">CNT!E37</f>
        <v>2737534.5552495</v>
      </c>
      <c r="D24" s="23" t="n">
        <f aca="false">CNT!E38</f>
        <v>168.213075687757</v>
      </c>
      <c r="E24" s="23" t="n">
        <f aca="false">CNT!E39</f>
        <v>59.9450680042517</v>
      </c>
    </row>
    <row r="26" customFormat="false" ht="15" hidden="false" customHeight="true" outlineLevel="0" collapsed="false">
      <c r="A26" s="18" t="s">
        <v>121</v>
      </c>
      <c r="B26" s="18"/>
      <c r="C26" s="18"/>
      <c r="D26" s="18"/>
      <c r="E26" s="18"/>
      <c r="F26" s="18"/>
      <c r="G26" s="18"/>
      <c r="H26" s="18"/>
      <c r="I26" s="18"/>
    </row>
    <row r="27" customFormat="false" ht="15" hidden="false" customHeight="true" outlineLevel="0" collapsed="false">
      <c r="A27" s="19" t="s">
        <v>113</v>
      </c>
      <c r="B27" s="19" t="s">
        <v>114</v>
      </c>
      <c r="C27" s="19" t="s">
        <v>115</v>
      </c>
      <c r="D27" s="19" t="s">
        <v>116</v>
      </c>
      <c r="E27" s="19" t="s">
        <v>117</v>
      </c>
    </row>
    <row r="28" customFormat="false" ht="15" hidden="false" customHeight="true" outlineLevel="0" collapsed="false">
      <c r="A28" s="20" t="s">
        <v>21</v>
      </c>
      <c r="B28" s="20" t="s">
        <v>118</v>
      </c>
      <c r="C28" s="21" t="n">
        <f aca="false">Cu!B35</f>
        <v>8777.10531826024</v>
      </c>
      <c r="D28" s="21" t="n">
        <f aca="false">Cu!B36</f>
        <v>2.04175412619873</v>
      </c>
      <c r="E28" s="21" t="n">
        <f aca="false">Cu!B37</f>
        <v>32.8270060179059</v>
      </c>
    </row>
    <row r="29" customFormat="false" ht="15" hidden="false" customHeight="true" outlineLevel="0" collapsed="false">
      <c r="A29" s="22" t="s">
        <v>21</v>
      </c>
      <c r="B29" s="22" t="s">
        <v>119</v>
      </c>
      <c r="C29" s="23" t="n">
        <f aca="false">CNT!B43</f>
        <v>439415.402843181</v>
      </c>
      <c r="D29" s="23" t="n">
        <f aca="false">CNT!B44</f>
        <v>27.2745895738459</v>
      </c>
      <c r="E29" s="23" t="n">
        <f aca="false">CNT!B45</f>
        <v>173.60503304935</v>
      </c>
    </row>
    <row r="30" customFormat="false" ht="15" hidden="false" customHeight="true" outlineLevel="0" collapsed="false">
      <c r="A30" s="20" t="s">
        <v>22</v>
      </c>
      <c r="B30" s="20" t="s">
        <v>118</v>
      </c>
      <c r="C30" s="21" t="n">
        <f aca="false">Cu!C35</f>
        <v>49460.6646609931</v>
      </c>
      <c r="D30" s="21" t="n">
        <f aca="false">Cu!C36</f>
        <v>2.17760192711695</v>
      </c>
      <c r="E30" s="21" t="n">
        <f aca="false">Cu!C37</f>
        <v>28.0101229866747</v>
      </c>
    </row>
    <row r="31" customFormat="false" ht="15" hidden="false" customHeight="true" outlineLevel="0" collapsed="false">
      <c r="A31" s="22" t="s">
        <v>22</v>
      </c>
      <c r="B31" s="22" t="s">
        <v>119</v>
      </c>
      <c r="C31" s="23" t="n">
        <f aca="false">CNT!C43</f>
        <v>1122950.47393257</v>
      </c>
      <c r="D31" s="23" t="n">
        <f aca="false">CNT!C44</f>
        <v>69.2496756284995</v>
      </c>
      <c r="E31" s="23" t="n">
        <f aca="false">CNT!C45</f>
        <v>151.161695703425</v>
      </c>
    </row>
    <row r="32" customFormat="false" ht="15" hidden="false" customHeight="true" outlineLevel="0" collapsed="false">
      <c r="A32" s="20" t="s">
        <v>23</v>
      </c>
      <c r="B32" s="20" t="s">
        <v>118</v>
      </c>
      <c r="C32" s="21" t="n">
        <f aca="false">Cu!D35</f>
        <v>280056.517711655</v>
      </c>
      <c r="D32" s="21" t="n">
        <f aca="false">Cu!D36</f>
        <v>2.26097974920331</v>
      </c>
      <c r="E32" s="21" t="n">
        <f aca="false">Cu!D37</f>
        <v>24.6436011096596</v>
      </c>
    </row>
    <row r="33" customFormat="false" ht="15" hidden="false" customHeight="true" outlineLevel="0" collapsed="false">
      <c r="A33" s="22" t="s">
        <v>23</v>
      </c>
      <c r="B33" s="22" t="s">
        <v>119</v>
      </c>
      <c r="C33" s="23" t="n">
        <f aca="false">CNT!D43</f>
        <v>2085479.45158906</v>
      </c>
      <c r="D33" s="23" t="n">
        <f aca="false">CNT!D44</f>
        <v>128.353442723784</v>
      </c>
      <c r="E33" s="23" t="n">
        <f aca="false">CNT!D45</f>
        <v>135.623838232481</v>
      </c>
    </row>
    <row r="34" customFormat="false" ht="15" hidden="false" customHeight="true" outlineLevel="0" collapsed="false">
      <c r="A34" s="20" t="s">
        <v>24</v>
      </c>
      <c r="B34" s="20" t="s">
        <v>118</v>
      </c>
      <c r="C34" s="21" t="n">
        <f aca="false">Cu!E35</f>
        <v>2588582.97969636</v>
      </c>
      <c r="D34" s="21" t="n">
        <f aca="false">Cu!E36</f>
        <v>2.39282799886017</v>
      </c>
      <c r="E34" s="21" t="n">
        <f aca="false">Cu!E37</f>
        <v>21.5867392465671</v>
      </c>
    </row>
    <row r="35" customFormat="false" ht="15" hidden="false" customHeight="true" outlineLevel="0" collapsed="false">
      <c r="A35" s="22" t="s">
        <v>24</v>
      </c>
      <c r="B35" s="22" t="s">
        <v>119</v>
      </c>
      <c r="C35" s="23" t="n">
        <f aca="false">CNT!E43</f>
        <v>5474383.56042129</v>
      </c>
      <c r="D35" s="23" t="n">
        <f aca="false">CNT!E44</f>
        <v>336.426151375514</v>
      </c>
      <c r="E35" s="23" t="n">
        <f aca="false">CNT!E45</f>
        <v>119.890136008503</v>
      </c>
    </row>
    <row r="38" customFormat="false" ht="15" hidden="false" customHeight="true" outlineLevel="0" collapsed="false">
      <c r="A38" s="8" t="s">
        <v>122</v>
      </c>
    </row>
    <row r="39" customFormat="false" ht="15" hidden="false" customHeight="true" outlineLevel="0" collapsed="false">
      <c r="A39" s="10" t="s">
        <v>123</v>
      </c>
      <c r="B39" s="10"/>
      <c r="C39" s="10"/>
      <c r="D39" s="10"/>
      <c r="E39" s="10"/>
      <c r="F39" s="10"/>
      <c r="G39" s="10"/>
      <c r="H39" s="10"/>
      <c r="I39" s="10"/>
    </row>
    <row r="40" customFormat="false" ht="15" hidden="false" customHeight="true" outlineLevel="0" collapsed="false">
      <c r="A40" s="10" t="s">
        <v>124</v>
      </c>
      <c r="B40" s="10"/>
      <c r="C40" s="10"/>
      <c r="D40" s="10"/>
      <c r="E40" s="10"/>
      <c r="F40" s="10"/>
      <c r="G40" s="10"/>
      <c r="H40" s="10"/>
      <c r="I40" s="10"/>
    </row>
    <row r="41" customFormat="false" ht="15" hidden="false" customHeight="true" outlineLevel="0" collapsed="false">
      <c r="A41" s="10" t="s">
        <v>125</v>
      </c>
      <c r="B41" s="10"/>
      <c r="C41" s="10"/>
      <c r="D41" s="10"/>
      <c r="E41" s="10"/>
      <c r="F41" s="10"/>
      <c r="G41" s="10"/>
      <c r="H41" s="10"/>
      <c r="I41" s="10"/>
    </row>
    <row r="42" customFormat="false" ht="15" hidden="false" customHeight="true" outlineLevel="0" collapsed="false">
      <c r="A42" s="10" t="s">
        <v>126</v>
      </c>
      <c r="B42" s="10"/>
      <c r="C42" s="10"/>
      <c r="D42" s="10"/>
      <c r="E42" s="10"/>
      <c r="F42" s="10"/>
      <c r="G42" s="10"/>
      <c r="H42" s="10"/>
      <c r="I42" s="10"/>
    </row>
    <row r="43" customFormat="false" ht="15" hidden="false" customHeight="true" outlineLevel="0" collapsed="false">
      <c r="A43" s="10" t="s">
        <v>127</v>
      </c>
      <c r="B43" s="10"/>
      <c r="C43" s="10"/>
      <c r="D43" s="10"/>
      <c r="E43" s="10"/>
      <c r="F43" s="10"/>
      <c r="G43" s="10"/>
      <c r="H43" s="10"/>
      <c r="I43" s="10"/>
    </row>
  </sheetData>
  <mergeCells count="8">
    <mergeCell ref="A4:I4"/>
    <mergeCell ref="A15:I15"/>
    <mergeCell ref="A26:I26"/>
    <mergeCell ref="A39:I39"/>
    <mergeCell ref="A40:I40"/>
    <mergeCell ref="A41:I41"/>
    <mergeCell ref="A42:I42"/>
    <mergeCell ref="A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2026-07-12T14:58:27Z</dcterms:created>
  <dc:creator>openpyxl</dc:creator>
  <dc:description/>
  <dc:language>en-US</dc:language>
  <cp:lastModifiedBy/>
  <dcterms:modified xsi:type="dcterms:W3CDTF">2026-07-12T15:46:41Z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